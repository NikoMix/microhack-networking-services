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shboard" sheetId="2" state="visible" r:id="rId2"/>
    <sheet xmlns:r="http://schemas.openxmlformats.org/officeDocument/2006/relationships" name="Security" sheetId="3" state="visible" r:id="rId3"/>
    <sheet xmlns:r="http://schemas.openxmlformats.org/officeDocument/2006/relationships" name="Reliability" sheetId="4" state="visible" r:id="rId4"/>
    <sheet xmlns:r="http://schemas.openxmlformats.org/officeDocument/2006/relationships" name="Operational Excellence" sheetId="5" state="visible" r:id="rId5"/>
    <sheet xmlns:r="http://schemas.openxmlformats.org/officeDocument/2006/relationships" name="Performance Efficiency" sheetId="6" state="visible" r:id="rId6"/>
    <sheet xmlns:r="http://schemas.openxmlformats.org/officeDocument/2006/relationships" name="Cost Optimization"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6"/>
    </font>
    <font>
      <b val="1"/>
      <color rgb="00FFFFFF"/>
      <sz val="11"/>
    </font>
    <font>
      <sz val="10"/>
    </font>
    <font>
      <b val="1"/>
      <color rgb="007F3F00"/>
      <sz val="10"/>
    </font>
    <font>
      <b val="1"/>
      <color rgb="00FFFFFF"/>
      <sz val="14"/>
    </font>
    <font>
      <b val="1"/>
      <sz val="10"/>
    </font>
    <font>
      <color rgb="007F3F00"/>
      <sz val="9"/>
    </font>
    <font>
      <b val="1"/>
      <color rgb="00FFFFFF"/>
      <sz val="10"/>
    </font>
    <font>
      <b val="1"/>
      <color rgb="00000000"/>
      <sz val="10"/>
    </font>
    <font>
      <b val="1"/>
      <color rgb="00FFFFFF"/>
      <sz val="13"/>
    </font>
  </fonts>
  <fills count="13">
    <fill>
      <patternFill/>
    </fill>
    <fill>
      <patternFill patternType="gray125"/>
    </fill>
    <fill>
      <patternFill patternType="solid">
        <fgColor rgb="000070C0"/>
      </patternFill>
    </fill>
    <fill>
      <patternFill patternType="solid">
        <fgColor rgb="00FFF2CC"/>
      </patternFill>
    </fill>
    <fill>
      <patternFill patternType="solid">
        <fgColor rgb="00404040"/>
      </patternFill>
    </fill>
    <fill>
      <patternFill patternType="solid">
        <fgColor rgb="00FF0000"/>
      </patternFill>
    </fill>
    <fill>
      <patternFill patternType="solid">
        <fgColor rgb="00FF7500"/>
      </patternFill>
    </fill>
    <fill>
      <patternFill patternType="solid">
        <fgColor rgb="00FFBF00"/>
      </patternFill>
    </fill>
    <fill>
      <patternFill patternType="solid">
        <fgColor rgb="0000B050"/>
      </patternFill>
    </fill>
    <fill>
      <patternFill patternType="solid">
        <fgColor rgb="00C00000"/>
      </patternFill>
    </fill>
    <fill>
      <patternFill patternType="solid">
        <fgColor rgb="00375623"/>
      </patternFill>
    </fill>
    <fill>
      <patternFill patternType="solid">
        <fgColor rgb="00833C00"/>
      </patternFill>
    </fill>
    <fill>
      <patternFill patternType="solid">
        <fgColor rgb="004F6228"/>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left" vertical="center" wrapText="1"/>
    </xf>
    <xf numFmtId="0" fontId="3"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wrapText="1"/>
    </xf>
    <xf numFmtId="0" fontId="5" fillId="2" borderId="0" applyAlignment="1" pivotButton="0" quotePrefix="0" xfId="0">
      <alignment horizontal="center" vertical="center" wrapText="1"/>
    </xf>
    <xf numFmtId="0" fontId="2"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3" borderId="0" applyAlignment="1" pivotButton="0" quotePrefix="0" xfId="0">
      <alignment horizontal="left" vertical="center" wrapText="1"/>
    </xf>
    <xf numFmtId="0" fontId="6" fillId="0" borderId="0" pivotButton="0" quotePrefix="0" xfId="0"/>
    <xf numFmtId="0" fontId="8" fillId="5" borderId="1" applyAlignment="1" pivotButton="0" quotePrefix="0" xfId="0">
      <alignment horizontal="center" vertical="center" wrapText="1"/>
    </xf>
    <xf numFmtId="0" fontId="3" fillId="0" borderId="1" pivotButton="0" quotePrefix="0" xfId="0"/>
    <xf numFmtId="0" fontId="8"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10" fillId="9" borderId="0" applyAlignment="1" pivotButton="0" quotePrefix="0" xfId="0">
      <alignment horizontal="center" vertical="center" wrapText="1"/>
    </xf>
    <xf numFmtId="0" fontId="2" fillId="9" borderId="1" applyAlignment="1" pivotButton="0" quotePrefix="0" xfId="0">
      <alignment horizontal="center" vertical="center" wrapText="1"/>
    </xf>
    <xf numFmtId="0" fontId="0" fillId="0" borderId="1" pivotButton="0" quotePrefix="0" xfId="0"/>
    <xf numFmtId="0" fontId="0" fillId="3" borderId="1" pivotButton="0" quotePrefix="0" xfId="0"/>
    <xf numFmtId="0" fontId="10"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10" fillId="10" borderId="0" applyAlignment="1" pivotButton="0" quotePrefix="0" xfId="0">
      <alignment horizontal="center" vertical="center" wrapText="1"/>
    </xf>
    <xf numFmtId="0" fontId="2" fillId="10" borderId="1" applyAlignment="1" pivotButton="0" quotePrefix="0" xfId="0">
      <alignment horizontal="center" vertical="center" wrapText="1"/>
    </xf>
    <xf numFmtId="0" fontId="10" fillId="11" borderId="0" applyAlignment="1" pivotButton="0" quotePrefix="0" xfId="0">
      <alignment horizontal="center" vertical="center" wrapText="1"/>
    </xf>
    <xf numFmtId="0" fontId="2" fillId="11" borderId="1" applyAlignment="1" pivotButton="0" quotePrefix="0" xfId="0">
      <alignment horizontal="center" vertical="center" wrapText="1"/>
    </xf>
    <xf numFmtId="0" fontId="10" fillId="12" borderId="0" applyAlignment="1" pivotButton="0" quotePrefix="0" xfId="0">
      <alignment horizontal="center" vertical="center" wrapText="1"/>
    </xf>
    <xf numFmtId="0" fontId="2"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s>
  <sheetData>
    <row r="1" ht="50" customHeight="1">
      <c r="A1" s="1" t="inlineStr">
        <is>
          <t>Contoso Financial Services (CFS)
Module B Evidence Artifact — 2.2</t>
        </is>
      </c>
    </row>
    <row r="2">
      <c r="A2" s="2" t="inlineStr">
        <is>
          <t>Artifact</t>
        </is>
      </c>
      <c r="B2" s="3" t="inlineStr">
        <is>
          <t>B2.2_WellArchitectedReview_CFS_v1.xlsx</t>
        </is>
      </c>
      <c r="C2" s="4" t="n"/>
      <c r="D2" s="4" t="n"/>
      <c r="E2" s="4" t="n"/>
      <c r="F2" s="5" t="n"/>
    </row>
    <row r="3">
      <c r="A3" s="2" t="inlineStr">
        <is>
          <t>Control ID</t>
        </is>
      </c>
      <c r="B3" s="3" t="inlineStr">
        <is>
          <t>2.2</t>
        </is>
      </c>
      <c r="C3" s="4" t="n"/>
      <c r="D3" s="4" t="n"/>
      <c r="E3" s="4" t="n"/>
      <c r="F3" s="5" t="n"/>
    </row>
    <row r="4">
      <c r="A4" s="2" t="inlineStr">
        <is>
          <t>Control Name</t>
        </is>
      </c>
      <c r="B4" s="3" t="inlineStr">
        <is>
          <t>Well-Architected Review</t>
        </is>
      </c>
      <c r="C4" s="4" t="n"/>
      <c r="D4" s="4" t="n"/>
      <c r="E4" s="4" t="n"/>
      <c r="F4" s="5" t="n"/>
    </row>
    <row r="5">
      <c r="A5" s="2" t="inlineStr">
        <is>
          <t>Customer</t>
        </is>
      </c>
      <c r="B5" s="3" t="inlineStr">
        <is>
          <t>Contoso Financial Services (CFS)</t>
        </is>
      </c>
      <c r="C5" s="4" t="n"/>
      <c r="D5" s="4" t="n"/>
      <c r="E5" s="4" t="n"/>
      <c r="F5" s="5" t="n"/>
    </row>
    <row r="6">
      <c r="A6" s="2" t="inlineStr">
        <is>
          <t>Industry</t>
        </is>
      </c>
      <c r="B6" s="3" t="inlineStr">
        <is>
          <t>Regulated EU Fintech (PSD2 / DORA / GDPR)</t>
        </is>
      </c>
      <c r="C6" s="4" t="n"/>
      <c r="D6" s="4" t="n"/>
      <c r="E6" s="4" t="n"/>
      <c r="F6" s="5" t="n"/>
    </row>
    <row r="7">
      <c r="A7" s="2" t="inlineStr">
        <is>
          <t>Region</t>
        </is>
      </c>
      <c r="B7" s="3" t="inlineStr">
        <is>
          <t>Sweden Central (swedencentral)</t>
        </is>
      </c>
      <c r="C7" s="4" t="n"/>
      <c r="D7" s="4" t="n"/>
      <c r="E7" s="4" t="n"/>
      <c r="F7" s="5" t="n"/>
    </row>
    <row r="8">
      <c r="A8" s="2" t="inlineStr">
        <is>
          <t>IaC stack</t>
        </is>
      </c>
      <c r="B8" s="3" t="inlineStr">
        <is>
          <t>Bicep (primary) / Terraform AVM (alternate)</t>
        </is>
      </c>
      <c r="C8" s="4" t="n"/>
      <c r="D8" s="4" t="n"/>
      <c r="E8" s="4" t="n"/>
      <c r="F8" s="5" t="n"/>
    </row>
    <row r="9">
      <c r="A9" s="2" t="inlineStr">
        <is>
          <t>Prepared by</t>
        </is>
      </c>
      <c r="B9" s="3" t="inlineStr">
        <is>
          <t>&lt;&lt;Partner Name&gt;&gt;</t>
        </is>
      </c>
      <c r="C9" s="4" t="n"/>
      <c r="D9" s="4" t="n"/>
      <c r="E9" s="4" t="n"/>
      <c r="F9" s="5" t="n"/>
    </row>
    <row r="10">
      <c r="A10" s="2" t="inlineStr">
        <is>
          <t>Reviewed by</t>
        </is>
      </c>
      <c r="B10" s="3" t="inlineStr">
        <is>
          <t>&lt;&lt;Reviewer Name&gt;&gt;</t>
        </is>
      </c>
      <c r="C10" s="4" t="n"/>
      <c r="D10" s="4" t="n"/>
      <c r="E10" s="4" t="n"/>
      <c r="F10" s="5" t="n"/>
    </row>
    <row r="11">
      <c r="A11" s="2" t="inlineStr">
        <is>
          <t>Date</t>
        </is>
      </c>
      <c r="B11" s="3" t="inlineStr">
        <is>
          <t>&lt;&lt;YYYY-MM-DD&gt;&gt;</t>
        </is>
      </c>
      <c r="C11" s="4" t="n"/>
      <c r="D11" s="4" t="n"/>
      <c r="E11" s="4" t="n"/>
      <c r="F11" s="5" t="n"/>
    </row>
    <row r="12">
      <c r="A12" s="2" t="inlineStr">
        <is>
          <t>Version</t>
        </is>
      </c>
      <c r="B12" s="3" t="inlineStr">
        <is>
          <t>v1</t>
        </is>
      </c>
      <c r="C12" s="4" t="n"/>
      <c r="D12" s="4" t="n"/>
      <c r="E12" s="4" t="n"/>
      <c r="F12" s="5" t="n"/>
    </row>
    <row r="13">
      <c r="A13" s="2" t="inlineStr">
        <is>
          <t>Status</t>
        </is>
      </c>
      <c r="B13" s="3" t="inlineStr">
        <is>
          <t>DRAFT — Complete highlighted cells</t>
        </is>
      </c>
      <c r="C13" s="4" t="n"/>
      <c r="D13" s="4" t="n"/>
      <c r="E13" s="4" t="n"/>
      <c r="F13" s="5" t="n"/>
    </row>
    <row r="14" ht="45" customHeight="1">
      <c r="A14" s="6" t="inlineStr">
        <is>
          <t>📋 INSTRUCTIONS: This template is pre-seeded with CFS context. Complete all cells highlighted in yellow. Do NOT modify column headers or control mappings. Save a copy as evidence-output/&lt;filename&gt; once complete.</t>
        </is>
      </c>
    </row>
  </sheetData>
  <mergeCells count="14">
    <mergeCell ref="B4:F4"/>
    <mergeCell ref="B12:F12"/>
    <mergeCell ref="B7:F7"/>
    <mergeCell ref="B6:F6"/>
    <mergeCell ref="B2:F2"/>
    <mergeCell ref="A14:F14"/>
    <mergeCell ref="B10:F10"/>
    <mergeCell ref="A1:F1"/>
    <mergeCell ref="B11:F11"/>
    <mergeCell ref="B3:F3"/>
    <mergeCell ref="B5:F5"/>
    <mergeCell ref="B8:F8"/>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s>
  <sheetData>
    <row r="1" ht="35" customHeight="1">
      <c r="A1" s="7" t="inlineStr">
        <is>
          <t>WAF Review Dashboard — Contoso Financial Services (CFS)</t>
        </is>
      </c>
    </row>
    <row r="2">
      <c r="A2" s="8" t="inlineStr">
        <is>
          <t>Pillar</t>
        </is>
      </c>
      <c r="B2" s="8" t="inlineStr">
        <is>
          <t>Critical</t>
        </is>
      </c>
      <c r="C2" s="8" t="inlineStr">
        <is>
          <t>High</t>
        </is>
      </c>
      <c r="D2" s="8" t="inlineStr">
        <is>
          <t>Medium</t>
        </is>
      </c>
      <c r="E2" s="8" t="inlineStr">
        <is>
          <t>Low</t>
        </is>
      </c>
      <c r="F2" s="8" t="inlineStr">
        <is>
          <t>Total Findings</t>
        </is>
      </c>
    </row>
    <row r="3">
      <c r="A3" s="3" t="inlineStr">
        <is>
          <t>Security</t>
        </is>
      </c>
      <c r="B3" s="9">
        <f>COUNTIFS('Security'!D:D,"Critical")</f>
        <v/>
      </c>
      <c r="C3" s="9">
        <f>COUNTIFS('Security'!D:D,"High")</f>
        <v/>
      </c>
      <c r="D3" s="9">
        <f>COUNTIFS('Security'!D:D,"Medium")</f>
        <v/>
      </c>
      <c r="E3" s="9">
        <f>COUNTIFS('Security'!D:D,"Low")</f>
        <v/>
      </c>
      <c r="F3" s="10">
        <f>SUM(B5:E5)</f>
        <v/>
      </c>
    </row>
    <row r="4">
      <c r="A4" s="3" t="inlineStr">
        <is>
          <t>Reliability</t>
        </is>
      </c>
      <c r="B4" s="9">
        <f>COUNTIFS('Reliability'!D:D,"Critical")</f>
        <v/>
      </c>
      <c r="C4" s="9">
        <f>COUNTIFS('Reliability'!D:D,"High")</f>
        <v/>
      </c>
      <c r="D4" s="9">
        <f>COUNTIFS('Reliability'!D:D,"Medium")</f>
        <v/>
      </c>
      <c r="E4" s="9">
        <f>COUNTIFS('Reliability'!D:D,"Low")</f>
        <v/>
      </c>
      <c r="F4" s="10" t="inlineStr"/>
    </row>
    <row r="5">
      <c r="A5" s="3" t="inlineStr">
        <is>
          <t>Operational Excellence</t>
        </is>
      </c>
      <c r="B5" s="9" t="inlineStr"/>
      <c r="C5" s="9" t="inlineStr"/>
      <c r="D5" s="9" t="inlineStr"/>
      <c r="E5" s="9" t="inlineStr"/>
      <c r="F5" s="10" t="inlineStr"/>
    </row>
    <row r="6">
      <c r="A6" s="3" t="inlineStr">
        <is>
          <t>Performance Efficiency</t>
        </is>
      </c>
      <c r="B6" s="9" t="inlineStr"/>
      <c r="C6" s="9" t="inlineStr"/>
      <c r="D6" s="9" t="inlineStr"/>
      <c r="E6" s="9" t="inlineStr"/>
      <c r="F6" s="10" t="inlineStr"/>
    </row>
    <row r="7">
      <c r="A7" s="3" t="inlineStr">
        <is>
          <t>Cost Optimization</t>
        </is>
      </c>
      <c r="B7" s="9" t="inlineStr"/>
      <c r="C7" s="9" t="inlineStr"/>
      <c r="D7" s="9" t="inlineStr"/>
      <c r="E7" s="9" t="inlineStr"/>
      <c r="F7" s="10" t="inlineStr"/>
    </row>
    <row r="9" ht="55" customHeight="1">
      <c r="A9" s="11" t="inlineStr">
        <is>
          <t>📋 INSTRUCTIONS: Complete the Security and Reliability pillar sheets (both are REQUIRED). Optionally add findings to Operational Excellence, Performance, and Cost sheets. All findings must include Severity, Impact, Remediation, and Owner. Set Status = 'Closed' only when remediation is applied and verified.</t>
        </is>
      </c>
    </row>
    <row r="11">
      <c r="A11" s="12" t="inlineStr">
        <is>
          <t>Severity Legend</t>
        </is>
      </c>
    </row>
    <row r="12">
      <c r="A12" s="13" t="inlineStr">
        <is>
          <t>Critical</t>
        </is>
      </c>
      <c r="B12" s="14" t="inlineStr">
        <is>
          <t>Immediate action — blocks deployment / regulatory risk</t>
        </is>
      </c>
      <c r="C12" s="4" t="n"/>
      <c r="D12" s="4" t="n"/>
      <c r="E12" s="5" t="n"/>
    </row>
    <row r="13">
      <c r="A13" s="15" t="inlineStr">
        <is>
          <t>High</t>
        </is>
      </c>
      <c r="B13" s="14" t="inlineStr">
        <is>
          <t>Resolve before production</t>
        </is>
      </c>
      <c r="C13" s="4" t="n"/>
      <c r="D13" s="4" t="n"/>
      <c r="E13" s="5" t="n"/>
    </row>
    <row r="14">
      <c r="A14" s="16" t="inlineStr">
        <is>
          <t>Medium</t>
        </is>
      </c>
      <c r="B14" s="14" t="inlineStr">
        <is>
          <t>Resolve within 30 days</t>
        </is>
      </c>
      <c r="C14" s="4" t="n"/>
      <c r="D14" s="4" t="n"/>
      <c r="E14" s="5" t="n"/>
    </row>
    <row r="15">
      <c r="A15" s="17" t="inlineStr">
        <is>
          <t>Low</t>
        </is>
      </c>
      <c r="B15" s="14" t="inlineStr">
        <is>
          <t>Best practice / nicety</t>
        </is>
      </c>
      <c r="C15" s="4" t="n"/>
      <c r="D15" s="4" t="n"/>
      <c r="E15" s="5" t="n"/>
    </row>
  </sheetData>
  <mergeCells count="6">
    <mergeCell ref="B12:E12"/>
    <mergeCell ref="B13:E13"/>
    <mergeCell ref="B15:E15"/>
    <mergeCell ref="A1:E1"/>
    <mergeCell ref="A9:E9"/>
    <mergeCell ref="B14:E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2" customWidth="1" min="1" max="1"/>
    <col width="22" customWidth="1" min="2" max="2"/>
    <col width="55" customWidth="1" min="3" max="3"/>
    <col width="12" customWidth="1" min="4" max="4"/>
    <col width="30" customWidth="1" min="5" max="5"/>
    <col width="30" customWidth="1" min="6" max="6"/>
    <col width="45" customWidth="1" min="7" max="7"/>
    <col width="55" customWidth="1" min="8" max="8"/>
    <col width="20" customWidth="1" min="9" max="9"/>
    <col width="14" customWidth="1" min="10" max="10"/>
    <col width="40" customWidth="1" min="11" max="11"/>
    <col width="12" customWidth="1" min="12" max="12"/>
  </cols>
  <sheetData>
    <row r="1" ht="30" customHeight="1">
      <c r="A1" s="18" t="inlineStr">
        <is>
          <t>WAF Pillar: Security — Contoso Financial Services</t>
        </is>
      </c>
    </row>
    <row r="2">
      <c r="A2" s="19" t="inlineStr">
        <is>
          <t>Finding-ID</t>
        </is>
      </c>
      <c r="B2" s="19" t="inlineStr">
        <is>
          <t>Category</t>
        </is>
      </c>
      <c r="C2" s="19" t="inlineStr">
        <is>
          <t>Finding / Risk Description</t>
        </is>
      </c>
      <c r="D2" s="19" t="inlineStr">
        <is>
          <t>Severity</t>
        </is>
      </c>
      <c r="E2" s="19" t="inlineStr">
        <is>
          <t>Impact</t>
        </is>
      </c>
      <c r="F2" s="19" t="inlineStr">
        <is>
          <t>Affected Resource / Service</t>
        </is>
      </c>
      <c r="G2" s="19" t="inlineStr">
        <is>
          <t>WAF Recommendation</t>
        </is>
      </c>
      <c r="H2" s="19" t="inlineStr">
        <is>
          <t>Remediation Action</t>
        </is>
      </c>
      <c r="I2" s="19" t="inlineStr">
        <is>
          <t>Owner</t>
        </is>
      </c>
      <c r="J2" s="19" t="inlineStr">
        <is>
          <t>Status</t>
        </is>
      </c>
      <c r="K2" s="19" t="inlineStr">
        <is>
          <t>Evidence / Notes</t>
        </is>
      </c>
      <c r="L2" s="19" t="inlineStr">
        <is>
          <t>Control Ref</t>
        </is>
      </c>
    </row>
    <row r="3">
      <c r="A3" s="3" t="inlineStr">
        <is>
          <t>SEC-001</t>
        </is>
      </c>
      <c r="B3" s="3" t="inlineStr">
        <is>
          <t>Identity &amp; Access</t>
        </is>
      </c>
      <c r="C3" s="3" t="inlineStr">
        <is>
          <t>Azure resources accessed with Key-based authentication instead of Managed Identity</t>
        </is>
      </c>
      <c r="D3" s="3" t="inlineStr">
        <is>
          <t>Critical</t>
        </is>
      </c>
      <c r="E3" s="3" t="inlineStr">
        <is>
          <t>Credential leak / lateral movement risk — violates Zero Trust</t>
        </is>
      </c>
      <c r="F3" s="3" t="inlineStr">
        <is>
          <t>Storage Accounts, Key Vault, SQL</t>
        </is>
      </c>
      <c r="G3" s="3" t="inlineStr">
        <is>
          <t>Use Managed Identity; disable key access on storage and Cosmos; RBAC on Key Vault</t>
        </is>
      </c>
      <c r="H3" s="3" t="inlineStr">
        <is>
          <t>1. Enable system-assigned MI on compute. 2. Assign Storage Blob Data Contributor on SA. 3. Disable 'Allow storage account key access'. 4. Replace all SDK calls to use DefaultAzureCredential.</t>
        </is>
      </c>
      <c r="I3" s="3" t="inlineStr">
        <is>
          <t>&lt;&lt;Owner&gt;&gt;</t>
        </is>
      </c>
      <c r="J3" s="3" t="inlineStr">
        <is>
          <t>Open</t>
        </is>
      </c>
      <c r="K3" s="3" t="inlineStr">
        <is>
          <t>ARM audit confirms no key auth</t>
        </is>
      </c>
      <c r="L3" s="3" t="inlineStr">
        <is>
          <t>B.2.2</t>
        </is>
      </c>
    </row>
    <row r="4">
      <c r="A4" s="3" t="inlineStr">
        <is>
          <t>SEC-002</t>
        </is>
      </c>
      <c r="B4" s="3" t="inlineStr">
        <is>
          <t>Network Segmentation</t>
        </is>
      </c>
      <c r="C4" s="3" t="inlineStr">
        <is>
          <t>Compute VMs have public IP addresses exposed to internet</t>
        </is>
      </c>
      <c r="D4" s="3" t="inlineStr">
        <is>
          <t>Critical</t>
        </is>
      </c>
      <c r="E4" s="3" t="inlineStr">
        <is>
          <t>Direct attack surface; bypasses Firewall and WAF controls</t>
        </is>
      </c>
      <c r="F4" s="3" t="inlineStr">
        <is>
          <t>cfs-app-vm-swc</t>
        </is>
      </c>
      <c r="G4" s="3" t="inlineStr">
        <is>
          <t>Remove all public IPs from VMs; access via Bastion only</t>
        </is>
      </c>
      <c r="H4" s="3" t="inlineStr">
        <is>
          <t>1. Disassociate public IP from NIC. 2. Delete public IP resource. 3. Validate Bastion connectivity. 4. Apply Azure Policy 'Deny public IP on VMs'.</t>
        </is>
      </c>
      <c r="I4" s="3" t="inlineStr">
        <is>
          <t>&lt;&lt;Owner&gt;&gt;</t>
        </is>
      </c>
      <c r="J4" s="3" t="inlineStr">
        <is>
          <t>Open</t>
        </is>
      </c>
      <c r="K4" s="3" t="inlineStr">
        <is>
          <t>Security Center confirms no public IPs on compute</t>
        </is>
      </c>
      <c r="L4" s="3" t="inlineStr">
        <is>
          <t>B.2.2</t>
        </is>
      </c>
    </row>
    <row r="5">
      <c r="A5" s="3" t="inlineStr">
        <is>
          <t>SEC-003</t>
        </is>
      </c>
      <c r="B5" s="3" t="inlineStr">
        <is>
          <t>Network Security</t>
        </is>
      </c>
      <c r="C5" s="3" t="inlineStr">
        <is>
          <t>NSG rules allow inbound internet traffic (0.0.0.0/0) on management ports (22/3389)</t>
        </is>
      </c>
      <c r="D5" s="3" t="inlineStr">
        <is>
          <t>Critical</t>
        </is>
      </c>
      <c r="E5" s="3" t="inlineStr">
        <is>
          <t>Direct admin access bypassing Bastion and Firewall</t>
        </is>
      </c>
      <c r="F5" s="3" t="inlineStr">
        <is>
          <t>All subnet NSGs</t>
        </is>
      </c>
      <c r="G5" s="3" t="inlineStr">
        <is>
          <t>Block port 22 and 3389 from internet; allow only from AzureBastionSubnet</t>
        </is>
      </c>
      <c r="H5" s="3" t="inlineStr">
        <is>
          <t>1. Review all NSG inbound rules. 2. Deny port 22/3389 source=Internet. 3. Allow from AzureBastionSubnet CIDR. 4. Test Bastion tunnel.</t>
        </is>
      </c>
      <c r="I5" s="3" t="inlineStr">
        <is>
          <t>&lt;&lt;Owner&gt;&gt;</t>
        </is>
      </c>
      <c r="J5" s="3" t="inlineStr">
        <is>
          <t>Open</t>
        </is>
      </c>
      <c r="K5" s="3" t="inlineStr">
        <is>
          <t>NSG Flow Logs confirm no direct admin traffic</t>
        </is>
      </c>
      <c r="L5" s="3" t="inlineStr">
        <is>
          <t>B.2.2</t>
        </is>
      </c>
    </row>
    <row r="6">
      <c r="A6" s="3" t="inlineStr">
        <is>
          <t>SEC-004</t>
        </is>
      </c>
      <c r="B6" s="3" t="inlineStr">
        <is>
          <t>Encryption</t>
        </is>
      </c>
      <c r="C6" s="3" t="inlineStr">
        <is>
          <t>TLS 1.0 / 1.1 enabled on App Gateway listeners</t>
        </is>
      </c>
      <c r="D6" s="3" t="inlineStr">
        <is>
          <t>High</t>
        </is>
      </c>
      <c r="E6" s="3" t="inlineStr">
        <is>
          <t>Weak cipher suites; fails PCI-DSS 4.2.1 and DORA Art.9</t>
        </is>
      </c>
      <c r="F6" s="3" t="inlineStr">
        <is>
          <t>cfs-app-agw-swc</t>
        </is>
      </c>
      <c r="G6" s="3" t="inlineStr">
        <is>
          <t>Enforce TLS 1.2 minimum on all listeners; disable TLS 1.0/1.1; use OWASP 3.2 WAF policy</t>
        </is>
      </c>
      <c r="H6" s="3" t="inlineStr">
        <is>
          <t>1. Update SSL policy to AppGwSslPolicy20220101S. 2. Set minimum TLS to 1.2. 3. Enable WAF in Prevention mode. 4. Run SSL Labs test.</t>
        </is>
      </c>
      <c r="I6" s="3" t="inlineStr">
        <is>
          <t>&lt;&lt;Owner&gt;&gt;</t>
        </is>
      </c>
      <c r="J6" s="3" t="inlineStr">
        <is>
          <t>Open</t>
        </is>
      </c>
      <c r="K6" s="3" t="inlineStr">
        <is>
          <t>SSL Labs report shows A rating</t>
        </is>
      </c>
      <c r="L6" s="3" t="inlineStr">
        <is>
          <t>B.2.2</t>
        </is>
      </c>
    </row>
    <row r="7">
      <c r="A7" s="3" t="inlineStr">
        <is>
          <t>SEC-005</t>
        </is>
      </c>
      <c r="B7" s="3" t="inlineStr">
        <is>
          <t>Logging</t>
        </is>
      </c>
      <c r="C7" s="3" t="inlineStr">
        <is>
          <t>Diagnostic settings not enabled on all network resources</t>
        </is>
      </c>
      <c r="D7" s="3" t="inlineStr">
        <is>
          <t>High</t>
        </is>
      </c>
      <c r="E7" s="3" t="inlineStr">
        <is>
          <t>Blind spots in SOC visibility; DORA Art.10 non-compliance</t>
        </is>
      </c>
      <c r="F7" s="3" t="inlineStr">
        <is>
          <t>Azure Firewall, App Gateway, VPN Gateway</t>
        </is>
      </c>
      <c r="G7" s="3" t="inlineStr">
        <is>
          <t>Enable all diagnostic categories to Log Analytics Workspace cfs-hub-law-swc</t>
        </is>
      </c>
      <c r="H7" s="3" t="inlineStr">
        <is>
          <t>1. Enable diag settings on Firewall, AppGW, VPN GW, NSGs. 2. Retention ≥90 days. 3. Configure Azure Monitor alerts. 4. Enable Traffic Analytics.</t>
        </is>
      </c>
      <c r="I7" s="3" t="inlineStr">
        <is>
          <t>&lt;&lt;Owner&gt;&gt;</t>
        </is>
      </c>
      <c r="J7" s="3" t="inlineStr">
        <is>
          <t>Open</t>
        </is>
      </c>
      <c r="K7" s="3" t="inlineStr">
        <is>
          <t>Monitor shows all resources reporting</t>
        </is>
      </c>
      <c r="L7" s="3" t="inlineStr">
        <is>
          <t>B.2.2</t>
        </is>
      </c>
    </row>
    <row r="8">
      <c r="A8" s="3" t="inlineStr">
        <is>
          <t>SEC-006</t>
        </is>
      </c>
      <c r="B8" s="3" t="inlineStr">
        <is>
          <t>WAF</t>
        </is>
      </c>
      <c r="C8" s="3" t="inlineStr">
        <is>
          <t>WAF Policy in Detection mode — attacks logged but not blocked</t>
        </is>
      </c>
      <c r="D8" s="3" t="inlineStr">
        <is>
          <t>High</t>
        </is>
      </c>
      <c r="E8" s="3" t="inlineStr">
        <is>
          <t>Active exploitation possible; WAF provides no protection</t>
        </is>
      </c>
      <c r="F8" s="3" t="inlineStr">
        <is>
          <t>cfs-app-agw-swc WAF Policy, AFD WAF Policy</t>
        </is>
      </c>
      <c r="G8" s="3" t="inlineStr">
        <is>
          <t>Switch WAF policy mode to Prevention; enable Microsoft_DefaultRuleSet 2.1 + OWASP 3.2</t>
        </is>
      </c>
      <c r="H8" s="3" t="inlineStr">
        <is>
          <t>1. Change WAF policy state to Prevention. 2. Enable default rule set. 3. Test with OWASP ZAP or similar. 4. Review WAF logs.</t>
        </is>
      </c>
      <c r="I8" s="3" t="inlineStr">
        <is>
          <t>&lt;&lt;Owner&gt;&gt;</t>
        </is>
      </c>
      <c r="J8" s="3" t="inlineStr">
        <is>
          <t>Open</t>
        </is>
      </c>
      <c r="K8" s="3" t="inlineStr">
        <is>
          <t>WAF blocks OWASP top-10 test vectors</t>
        </is>
      </c>
      <c r="L8" s="3" t="inlineStr">
        <is>
          <t>B.2.2</t>
        </is>
      </c>
    </row>
    <row r="9">
      <c r="A9" s="3" t="inlineStr">
        <is>
          <t>SEC-007</t>
        </is>
      </c>
      <c r="B9" s="3" t="inlineStr">
        <is>
          <t>Private Endpoints</t>
        </is>
      </c>
      <c r="C9" s="3" t="inlineStr">
        <is>
          <t>Public endpoint not disabled after Private Endpoint creation</t>
        </is>
      </c>
      <c r="D9" s="3" t="inlineStr">
        <is>
          <t>Medium</t>
        </is>
      </c>
      <c r="E9" s="3" t="inlineStr">
        <is>
          <t>Private Endpoint exists but public endpoint still accessible — dual-path risk</t>
        </is>
      </c>
      <c r="F9" s="3" t="inlineStr">
        <is>
          <t>Storage Account, Key Vault, Azure SQL</t>
        </is>
      </c>
      <c r="G9" s="3" t="inlineStr">
        <is>
          <t>Disable public network access on all PaaS services after PE creation</t>
        </is>
      </c>
      <c r="H9" s="3" t="inlineStr">
        <is>
          <t>1. Set publicNetworkAccess=Disabled on SA, KV, SQL. 2. Test resolution from private network. 3. Confirm public access returns 403.</t>
        </is>
      </c>
      <c r="I9" s="3" t="inlineStr">
        <is>
          <t>&lt;&lt;Owner&gt;&gt;</t>
        </is>
      </c>
      <c r="J9" s="3" t="inlineStr">
        <is>
          <t>Open</t>
        </is>
      </c>
      <c r="K9" s="3" t="inlineStr">
        <is>
          <t>Public endpoint returns 403; private resolves correctly</t>
        </is>
      </c>
      <c r="L9" s="3" t="inlineStr">
        <is>
          <t>B.2.2</t>
        </is>
      </c>
    </row>
    <row r="10">
      <c r="A10" s="3" t="inlineStr">
        <is>
          <t>SEC-008</t>
        </is>
      </c>
      <c r="B10" s="3" t="inlineStr">
        <is>
          <t>Firewall Policy</t>
        </is>
      </c>
      <c r="C10" s="3" t="inlineStr">
        <is>
          <t>Azure Firewall Application Rules allow * (wildcard) destinations</t>
        </is>
      </c>
      <c r="D10" s="3" t="inlineStr">
        <is>
          <t>Medium</t>
        </is>
      </c>
      <c r="E10" s="3" t="inlineStr">
        <is>
          <t>Overly permissive FQDN rules allow unnecessary internet egress</t>
        </is>
      </c>
      <c r="F10" s="3" t="inlineStr">
        <is>
          <t>cfs-hub-fw-swc</t>
        </is>
      </c>
      <c r="G10" s="3" t="inlineStr">
        <is>
          <t>Replace wildcard rules with explicit FQDN allow-lists; deny-by-default</t>
        </is>
      </c>
      <c r="H10" s="3" t="inlineStr">
        <is>
          <t>1. Audit all application rules. 2. Replace * with explicit FQDNs. 3. Add catch-all deny rule. 4. Monitor denied traffic.</t>
        </is>
      </c>
      <c r="I10" s="3" t="inlineStr">
        <is>
          <t>&lt;&lt;Owner&gt;&gt;</t>
        </is>
      </c>
      <c r="J10" s="3" t="inlineStr">
        <is>
          <t>Open</t>
        </is>
      </c>
      <c r="K10" s="3" t="inlineStr">
        <is>
          <t>Firewall logs show only approved FQDNs</t>
        </is>
      </c>
      <c r="L10" s="3" t="inlineStr">
        <is>
          <t>B.2.2</t>
        </is>
      </c>
    </row>
    <row r="11">
      <c r="A11" s="3" t="inlineStr">
        <is>
          <t>SEC-009</t>
        </is>
      </c>
      <c r="B11" s="3" t="inlineStr">
        <is>
          <t>Key Management</t>
        </is>
      </c>
      <c r="C11" s="3" t="inlineStr">
        <is>
          <t>Key Vault soft-delete enabled but purge protection disabled</t>
        </is>
      </c>
      <c r="D11" s="3" t="inlineStr">
        <is>
          <t>Medium</t>
        </is>
      </c>
      <c r="E11" s="3" t="inlineStr">
        <is>
          <t>Keys/secrets can be permanently deleted — violates data recovery requirements</t>
        </is>
      </c>
      <c r="F11" s="3" t="inlineStr">
        <is>
          <t>cfs-hub-kv-swc</t>
        </is>
      </c>
      <c r="G11" s="3" t="inlineStr">
        <is>
          <t>Enable purge protection on Key Vault (cannot be disabled once on)</t>
        </is>
      </c>
      <c r="H11" s="3" t="inlineStr">
        <is>
          <t>1. az keyvault update --enable-purge-protection true. 2. Verify retention period = 90 days.</t>
        </is>
      </c>
      <c r="I11" s="3" t="inlineStr">
        <is>
          <t>&lt;&lt;Owner&gt;&gt;</t>
        </is>
      </c>
      <c r="J11" s="3" t="inlineStr">
        <is>
          <t>Open</t>
        </is>
      </c>
      <c r="K11" s="3" t="inlineStr">
        <is>
          <t>az keyvault show confirms purge protection enabled</t>
        </is>
      </c>
      <c r="L11" s="3" t="inlineStr">
        <is>
          <t>B.2.2</t>
        </is>
      </c>
    </row>
    <row r="12">
      <c r="A12" s="3" t="inlineStr">
        <is>
          <t>SEC-010</t>
        </is>
      </c>
      <c r="B12" s="3" t="inlineStr">
        <is>
          <t>DDoS</t>
        </is>
      </c>
      <c r="C12" s="3" t="inlineStr">
        <is>
          <t>No DDoS Protection plan associated with hub VNet</t>
        </is>
      </c>
      <c r="D12" s="3" t="inlineStr">
        <is>
          <t>Low</t>
        </is>
      </c>
      <c r="E12" s="3" t="inlineStr">
        <is>
          <t>Increased DDoS risk on public-facing resources (Firewall, Bastion public IP)</t>
        </is>
      </c>
      <c r="F12" s="3" t="inlineStr">
        <is>
          <t>cfs-hub-vnet-swc</t>
        </is>
      </c>
      <c r="G12" s="3" t="inlineStr">
        <is>
          <t>Associate Azure DDoS Network Protection plan or evaluate AFD DDoS coverage</t>
        </is>
      </c>
      <c r="H12" s="3" t="inlineStr">
        <is>
          <t>1. Evaluate DDoS Standard cost vs risk. 2. If in scope: create DDoS plan and associate. 3. Document risk acceptance if deferred.</t>
        </is>
      </c>
      <c r="I12" s="3" t="inlineStr">
        <is>
          <t>&lt;&lt;Owner&gt;&gt;</t>
        </is>
      </c>
      <c r="J12" s="3" t="inlineStr">
        <is>
          <t>Open</t>
        </is>
      </c>
      <c r="K12" s="3" t="inlineStr">
        <is>
          <t>DDoS plan associated or risk acceptance documented</t>
        </is>
      </c>
      <c r="L12" s="3" t="inlineStr">
        <is>
          <t>B.2.2</t>
        </is>
      </c>
    </row>
    <row r="13">
      <c r="A13" s="20" t="n"/>
      <c r="B13" s="20" t="n"/>
      <c r="C13" s="20" t="n"/>
      <c r="D13" s="21" t="n"/>
      <c r="E13" s="20" t="n"/>
      <c r="F13" s="20" t="n"/>
      <c r="G13" s="20" t="n"/>
      <c r="H13" s="20" t="n"/>
      <c r="I13" s="20" t="n"/>
      <c r="J13" s="21" t="n"/>
      <c r="K13" s="20" t="n"/>
      <c r="L13" s="20" t="n"/>
    </row>
    <row r="14">
      <c r="A14" s="20" t="n"/>
      <c r="B14" s="20" t="n"/>
      <c r="C14" s="20" t="n"/>
      <c r="D14" s="21" t="n"/>
      <c r="E14" s="20" t="n"/>
      <c r="F14" s="20" t="n"/>
      <c r="G14" s="20" t="n"/>
      <c r="H14" s="20" t="n"/>
      <c r="I14" s="20" t="n"/>
      <c r="J14" s="21" t="n"/>
      <c r="K14" s="20" t="n"/>
      <c r="L14" s="20" t="n"/>
    </row>
    <row r="15">
      <c r="A15" s="20" t="n"/>
      <c r="B15" s="20" t="n"/>
      <c r="C15" s="20" t="n"/>
      <c r="D15" s="21" t="n"/>
      <c r="E15" s="20" t="n"/>
      <c r="F15" s="20" t="n"/>
      <c r="G15" s="20" t="n"/>
      <c r="H15" s="20" t="n"/>
      <c r="I15" s="20" t="n"/>
      <c r="J15" s="21" t="n"/>
      <c r="K15" s="20" t="n"/>
      <c r="L15" s="20" t="n"/>
    </row>
    <row r="16">
      <c r="A16" s="20" t="n"/>
      <c r="B16" s="20" t="n"/>
      <c r="C16" s="20" t="n"/>
      <c r="D16" s="21" t="n"/>
      <c r="E16" s="20" t="n"/>
      <c r="F16" s="20" t="n"/>
      <c r="G16" s="20" t="n"/>
      <c r="H16" s="20" t="n"/>
      <c r="I16" s="20" t="n"/>
      <c r="J16" s="21" t="n"/>
      <c r="K16" s="20" t="n"/>
      <c r="L16" s="20" t="n"/>
    </row>
    <row r="17">
      <c r="A17" s="20" t="n"/>
      <c r="B17" s="20" t="n"/>
      <c r="C17" s="20" t="n"/>
      <c r="D17" s="21" t="n"/>
      <c r="E17" s="20" t="n"/>
      <c r="F17" s="20" t="n"/>
      <c r="G17" s="20" t="n"/>
      <c r="H17" s="20" t="n"/>
      <c r="I17" s="20" t="n"/>
      <c r="J17" s="21" t="n"/>
      <c r="K17" s="20" t="n"/>
      <c r="L17" s="20" t="n"/>
    </row>
    <row r="18">
      <c r="A18" s="20" t="n"/>
      <c r="B18" s="20" t="n"/>
      <c r="C18" s="20" t="n"/>
      <c r="D18" s="21" t="n"/>
      <c r="E18" s="20" t="n"/>
      <c r="F18" s="20" t="n"/>
      <c r="G18" s="20" t="n"/>
      <c r="H18" s="20" t="n"/>
      <c r="I18" s="20" t="n"/>
      <c r="J18" s="21" t="n"/>
      <c r="K18" s="20" t="n"/>
      <c r="L18" s="20" t="n"/>
    </row>
    <row r="19">
      <c r="A19" s="20" t="n"/>
      <c r="B19" s="20" t="n"/>
      <c r="C19" s="20" t="n"/>
      <c r="D19" s="21" t="n"/>
      <c r="E19" s="20" t="n"/>
      <c r="F19" s="20" t="n"/>
      <c r="G19" s="20" t="n"/>
      <c r="H19" s="20" t="n"/>
      <c r="I19" s="20" t="n"/>
      <c r="J19" s="21" t="n"/>
      <c r="K19" s="20" t="n"/>
      <c r="L19" s="20" t="n"/>
    </row>
    <row r="20">
      <c r="A20" s="20" t="n"/>
      <c r="B20" s="20" t="n"/>
      <c r="C20" s="20" t="n"/>
      <c r="D20" s="21" t="n"/>
      <c r="E20" s="20" t="n"/>
      <c r="F20" s="20" t="n"/>
      <c r="G20" s="20" t="n"/>
      <c r="H20" s="20" t="n"/>
      <c r="I20" s="20" t="n"/>
      <c r="J20" s="21" t="n"/>
      <c r="K20" s="20" t="n"/>
      <c r="L20" s="20" t="n"/>
    </row>
    <row r="21">
      <c r="A21" s="20" t="n"/>
      <c r="B21" s="20" t="n"/>
      <c r="C21" s="20" t="n"/>
      <c r="D21" s="21" t="n"/>
      <c r="E21" s="20" t="n"/>
      <c r="F21" s="20" t="n"/>
      <c r="G21" s="20" t="n"/>
      <c r="H21" s="20" t="n"/>
      <c r="I21" s="20" t="n"/>
      <c r="J21" s="21" t="n"/>
      <c r="K21" s="20" t="n"/>
      <c r="L21" s="20" t="n"/>
    </row>
    <row r="22">
      <c r="A22" s="20" t="n"/>
      <c r="B22" s="20" t="n"/>
      <c r="C22" s="20" t="n"/>
      <c r="D22" s="21" t="n"/>
      <c r="E22" s="20" t="n"/>
      <c r="F22" s="20" t="n"/>
      <c r="G22" s="20" t="n"/>
      <c r="H22" s="20" t="n"/>
      <c r="I22" s="20" t="n"/>
      <c r="J22" s="21" t="n"/>
      <c r="K22" s="20" t="n"/>
      <c r="L22" s="20" t="n"/>
    </row>
  </sheetData>
  <mergeCells count="1">
    <mergeCell ref="A1:L1"/>
  </mergeCells>
  <dataValidations count="2">
    <dataValidation sqref="D3:D200" showDropDown="0" showInputMessage="0" showErrorMessage="0" allowBlank="0" type="list">
      <formula1>"Critical,High,Medium,Low"</formula1>
    </dataValidation>
    <dataValidation sqref="J3:J200" showDropDown="0" showInputMessage="0" showErrorMessage="0" allowBlank="0" type="list">
      <formula1>"Open,In Progress,Closed,Accepted Risk"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12" customWidth="1" min="1" max="1"/>
    <col width="22" customWidth="1" min="2" max="2"/>
    <col width="55" customWidth="1" min="3" max="3"/>
    <col width="12" customWidth="1" min="4" max="4"/>
    <col width="30" customWidth="1" min="5" max="5"/>
    <col width="30" customWidth="1" min="6" max="6"/>
    <col width="45" customWidth="1" min="7" max="7"/>
    <col width="55" customWidth="1" min="8" max="8"/>
    <col width="20" customWidth="1" min="9" max="9"/>
    <col width="14" customWidth="1" min="10" max="10"/>
    <col width="40" customWidth="1" min="11" max="11"/>
    <col width="12" customWidth="1" min="12" max="12"/>
  </cols>
  <sheetData>
    <row r="1" ht="30" customHeight="1">
      <c r="A1" s="22" t="inlineStr">
        <is>
          <t>WAF Pillar: Reliability — Contoso Financial Services</t>
        </is>
      </c>
    </row>
    <row r="2">
      <c r="A2" s="23" t="inlineStr">
        <is>
          <t>Finding-ID</t>
        </is>
      </c>
      <c r="B2" s="23" t="inlineStr">
        <is>
          <t>Category</t>
        </is>
      </c>
      <c r="C2" s="23" t="inlineStr">
        <is>
          <t>Finding / Risk Description</t>
        </is>
      </c>
      <c r="D2" s="23" t="inlineStr">
        <is>
          <t>Severity</t>
        </is>
      </c>
      <c r="E2" s="23" t="inlineStr">
        <is>
          <t>Impact</t>
        </is>
      </c>
      <c r="F2" s="23" t="inlineStr">
        <is>
          <t>Affected Resource / Service</t>
        </is>
      </c>
      <c r="G2" s="23" t="inlineStr">
        <is>
          <t>WAF Recommendation</t>
        </is>
      </c>
      <c r="H2" s="23" t="inlineStr">
        <is>
          <t>Remediation Action</t>
        </is>
      </c>
      <c r="I2" s="23" t="inlineStr">
        <is>
          <t>Owner</t>
        </is>
      </c>
      <c r="J2" s="23" t="inlineStr">
        <is>
          <t>Status</t>
        </is>
      </c>
      <c r="K2" s="23" t="inlineStr">
        <is>
          <t>Evidence / Notes</t>
        </is>
      </c>
      <c r="L2" s="23" t="inlineStr">
        <is>
          <t>Control Ref</t>
        </is>
      </c>
    </row>
    <row r="3">
      <c r="A3" s="3" t="inlineStr">
        <is>
          <t>REL-001</t>
        </is>
      </c>
      <c r="B3" s="3" t="inlineStr">
        <is>
          <t>Redundancy</t>
        </is>
      </c>
      <c r="C3" s="3" t="inlineStr">
        <is>
          <t>Single-region deployment — no secondary region failover for critical services</t>
        </is>
      </c>
      <c r="D3" s="3" t="inlineStr">
        <is>
          <t>High</t>
        </is>
      </c>
      <c r="E3" s="3" t="inlineStr">
        <is>
          <t>Region outage causes full CFS service unavailability — DORA RTO/RPO risk</t>
        </is>
      </c>
      <c r="F3" s="3" t="inlineStr">
        <is>
          <t>All resources in swedencentral</t>
        </is>
      </c>
      <c r="G3" s="3" t="inlineStr">
        <is>
          <t>Document RTO/RPO targets; implement Azure Site Recovery or active-active if RPO&lt;4h</t>
        </is>
      </c>
      <c r="H3" s="3" t="inlineStr">
        <is>
          <t>1. Define RTO/RPO with CFS. 2. If RPO&lt;4h: active-active Front Door routing. 3. If RPO&gt;4h: Azure Site Recovery warm standby. 4. Document DR plan.</t>
        </is>
      </c>
      <c r="I3" s="3" t="inlineStr">
        <is>
          <t>&lt;&lt;Owner&gt;&gt;</t>
        </is>
      </c>
      <c r="J3" s="3" t="inlineStr">
        <is>
          <t>Open</t>
        </is>
      </c>
      <c r="K3" s="3" t="inlineStr">
        <is>
          <t>DR test completed; RTO/RPO targets met</t>
        </is>
      </c>
      <c r="L3" s="3" t="inlineStr">
        <is>
          <t>B.2.2</t>
        </is>
      </c>
    </row>
    <row r="4">
      <c r="A4" s="3" t="inlineStr">
        <is>
          <t>REL-002</t>
        </is>
      </c>
      <c r="B4" s="3" t="inlineStr">
        <is>
          <t>Availability Zones</t>
        </is>
      </c>
      <c r="C4" s="3" t="inlineStr">
        <is>
          <t>VMs and App Gateway deployed to single Availability Zone</t>
        </is>
      </c>
      <c r="D4" s="3" t="inlineStr">
        <is>
          <t>High</t>
        </is>
      </c>
      <c r="E4" s="3" t="inlineStr">
        <is>
          <t>AZ failure causes service outage; breaks 99.95% SLA target</t>
        </is>
      </c>
      <c r="F4" s="3" t="inlineStr">
        <is>
          <t>cfs-app-vm-swc, cfs-app-agw-swc</t>
        </is>
      </c>
      <c r="G4" s="3" t="inlineStr">
        <is>
          <t>Deploy App Gateway v2 across AZs 1-2-3; use VMSS with AZ spread</t>
        </is>
      </c>
      <c r="H4" s="3" t="inlineStr">
        <is>
          <t>1. Migrate App Gateway to zone-redundant SKU. 2. Configure VMSS with AZ distribution. 3. Validate SLA calculation.</t>
        </is>
      </c>
      <c r="I4" s="3" t="inlineStr">
        <is>
          <t>&lt;&lt;Owner&gt;&gt;</t>
        </is>
      </c>
      <c r="J4" s="3" t="inlineStr">
        <is>
          <t>Open</t>
        </is>
      </c>
      <c r="K4" s="3" t="inlineStr">
        <is>
          <t>ARM shows resources zone-redundant</t>
        </is>
      </c>
      <c r="L4" s="3" t="inlineStr">
        <is>
          <t>B.2.2</t>
        </is>
      </c>
    </row>
    <row r="5">
      <c r="A5" s="3" t="inlineStr">
        <is>
          <t>REL-003</t>
        </is>
      </c>
      <c r="B5" s="3" t="inlineStr">
        <is>
          <t>Health Monitoring</t>
        </is>
      </c>
      <c r="C5" s="3" t="inlineStr">
        <is>
          <t>No health probes configured on Internal Load Balancer</t>
        </is>
      </c>
      <c r="D5" s="3" t="inlineStr">
        <is>
          <t>High</t>
        </is>
      </c>
      <c r="E5" s="3" t="inlineStr">
        <is>
          <t>Unhealthy backends receive traffic causing errors and timeouts</t>
        </is>
      </c>
      <c r="F5" s="3" t="inlineStr">
        <is>
          <t>cfs-app-ilb-swc</t>
        </is>
      </c>
      <c r="G5" s="3" t="inlineStr">
        <is>
          <t>Configure TCP or HTTP health probes on all LB backend pools</t>
        </is>
      </c>
      <c r="H5" s="3" t="inlineStr">
        <is>
          <t>1. Define probe endpoint in application. 2. Configure HTTP probe on LB. 3. Set probe threshold = 2 failed/1 success. 4. Verify in metrics.</t>
        </is>
      </c>
      <c r="I5" s="3" t="inlineStr">
        <is>
          <t>&lt;&lt;Owner&gt;&gt;</t>
        </is>
      </c>
      <c r="J5" s="3" t="inlineStr">
        <is>
          <t>Open</t>
        </is>
      </c>
      <c r="K5" s="3" t="inlineStr">
        <is>
          <t>LB metrics show probe success rate &gt;99%</t>
        </is>
      </c>
      <c r="L5" s="3" t="inlineStr">
        <is>
          <t>B.2.2</t>
        </is>
      </c>
    </row>
    <row r="6">
      <c r="A6" s="3" t="inlineStr">
        <is>
          <t>REL-004</t>
        </is>
      </c>
      <c r="B6" s="3" t="inlineStr">
        <is>
          <t>Recovery</t>
        </is>
      </c>
      <c r="C6" s="3" t="inlineStr">
        <is>
          <t>No automated backup for Azure Key Vault secrets</t>
        </is>
      </c>
      <c r="D6" s="3" t="inlineStr">
        <is>
          <t>High</t>
        </is>
      </c>
      <c r="E6" s="3" t="inlineStr">
        <is>
          <t>Key material loss causes application outage; DORA Art.12 non-compliance</t>
        </is>
      </c>
      <c r="F6" s="3" t="inlineStr">
        <is>
          <t>cfs-hub-kv-swc</t>
        </is>
      </c>
      <c r="G6" s="3" t="inlineStr">
        <is>
          <t>Enable Azure Backup for Key Vault; test restore procedure</t>
        </is>
      </c>
      <c r="H6" s="3" t="inlineStr">
        <is>
          <t>1. Create Recovery Services Vault. 2. Enable KV backup policy (daily, 30-day retention). 3. Test restore from backup.</t>
        </is>
      </c>
      <c r="I6" s="3" t="inlineStr">
        <is>
          <t>&lt;&lt;Owner&gt;&gt;</t>
        </is>
      </c>
      <c r="J6" s="3" t="inlineStr">
        <is>
          <t>Open</t>
        </is>
      </c>
      <c r="K6" s="3" t="inlineStr">
        <is>
          <t>Backup job history shows daily success</t>
        </is>
      </c>
      <c r="L6" s="3" t="inlineStr">
        <is>
          <t>B.2.2</t>
        </is>
      </c>
    </row>
    <row r="7">
      <c r="A7" s="3" t="inlineStr">
        <is>
          <t>REL-005</t>
        </is>
      </c>
      <c r="B7" s="3" t="inlineStr">
        <is>
          <t>Scalability</t>
        </is>
      </c>
      <c r="C7" s="3" t="inlineStr">
        <is>
          <t>Application Gateway capacity set to fixed instance count (not autoscale)</t>
        </is>
      </c>
      <c r="D7" s="3" t="inlineStr">
        <is>
          <t>Medium</t>
        </is>
      </c>
      <c r="E7" s="3" t="inlineStr">
        <is>
          <t>Traffic spikes cause dropped connections; over-provisioning wastes cost</t>
        </is>
      </c>
      <c r="F7" s="3" t="inlineStr">
        <is>
          <t>cfs-app-agw-swc</t>
        </is>
      </c>
      <c r="G7" s="3" t="inlineStr">
        <is>
          <t>Configure autoscaling on App Gateway v2 (min=2, max=10)</t>
        </is>
      </c>
      <c r="H7" s="3" t="inlineStr">
        <is>
          <t>1. Enable autoscaling. 2. Set min instances = 2 (for AZ redundancy). 3. Set max instances per load test results.</t>
        </is>
      </c>
      <c r="I7" s="3" t="inlineStr">
        <is>
          <t>&lt;&lt;Owner&gt;&gt;</t>
        </is>
      </c>
      <c r="J7" s="3" t="inlineStr">
        <is>
          <t>Open</t>
        </is>
      </c>
      <c r="K7" s="3" t="inlineStr">
        <is>
          <t>Autoscale events visible under sustained load</t>
        </is>
      </c>
      <c r="L7" s="3" t="inlineStr">
        <is>
          <t>B.2.2</t>
        </is>
      </c>
    </row>
    <row r="8">
      <c r="A8" s="3" t="inlineStr">
        <is>
          <t>REL-006</t>
        </is>
      </c>
      <c r="B8" s="3" t="inlineStr">
        <is>
          <t>Connectivity</t>
        </is>
      </c>
      <c r="C8" s="3" t="inlineStr">
        <is>
          <t>VPN Gateway in single-active mode (no active-active)</t>
        </is>
      </c>
      <c r="D8" s="3" t="inlineStr">
        <is>
          <t>Medium</t>
        </is>
      </c>
      <c r="E8" s="3" t="inlineStr">
        <is>
          <t>VPN Gateway instance failure causes connectivity loss to on-premises</t>
        </is>
      </c>
      <c r="F8" s="3" t="inlineStr">
        <is>
          <t>cfs-hub-vpng-swc</t>
        </is>
      </c>
      <c r="G8" s="3" t="inlineStr">
        <is>
          <t>Enable active-active VPN Gateway mode with BGP</t>
        </is>
      </c>
      <c r="H8" s="3" t="inlineStr">
        <is>
          <t>1. Change VPN Gateway to active-active. 2. Enable BGP AS 65515. 3. Update on-prem BGP peer. 4. Test failover.</t>
        </is>
      </c>
      <c r="I8" s="3" t="inlineStr">
        <is>
          <t>&lt;&lt;Owner&gt;&gt;</t>
        </is>
      </c>
      <c r="J8" s="3" t="inlineStr">
        <is>
          <t>Open</t>
        </is>
      </c>
      <c r="K8" s="3" t="inlineStr">
        <is>
          <t>BGP session established; failover tested in &lt;2 min</t>
        </is>
      </c>
      <c r="L8" s="3" t="inlineStr">
        <is>
          <t>B.2.2</t>
        </is>
      </c>
    </row>
    <row r="9">
      <c r="A9" s="3" t="inlineStr">
        <is>
          <t>REL-007</t>
        </is>
      </c>
      <c r="B9" s="3" t="inlineStr">
        <is>
          <t>Dependency</t>
        </is>
      </c>
      <c r="C9" s="3" t="inlineStr">
        <is>
          <t>No circuit breaker / retry logic in applications calling PaaS services</t>
        </is>
      </c>
      <c r="D9" s="3" t="inlineStr">
        <is>
          <t>Medium</t>
        </is>
      </c>
      <c r="E9" s="3" t="inlineStr">
        <is>
          <t>Transient failures cause cascading failures; violates DORA resilience requirements</t>
        </is>
      </c>
      <c r="F9" s="3" t="inlineStr">
        <is>
          <t>cfs-app-vm-swc application code</t>
        </is>
      </c>
      <c r="G9" s="3" t="inlineStr">
        <is>
          <t>Implement exponential backoff + jitter retry in SDK calls; use Polly or equivalent</t>
        </is>
      </c>
      <c r="H9" s="3" t="inlineStr">
        <is>
          <t>1. Add Polly retry policy to all HTTP/SDK clients. 2. Set max 3 retries, exponential backoff. 3. Log retry events to LAW.</t>
        </is>
      </c>
      <c r="I9" s="3" t="inlineStr">
        <is>
          <t>&lt;&lt;Owner&gt;&gt;</t>
        </is>
      </c>
      <c r="J9" s="3" t="inlineStr">
        <is>
          <t>Open</t>
        </is>
      </c>
      <c r="K9" s="3" t="inlineStr">
        <is>
          <t>Chaos test confirms retry handles transient failures</t>
        </is>
      </c>
      <c r="L9" s="3" t="inlineStr">
        <is>
          <t>B.2.2</t>
        </is>
      </c>
    </row>
    <row r="10">
      <c r="A10" s="3" t="inlineStr">
        <is>
          <t>REL-008</t>
        </is>
      </c>
      <c r="B10" s="3" t="inlineStr">
        <is>
          <t>Testing</t>
        </is>
      </c>
      <c r="C10" s="3" t="inlineStr">
        <is>
          <t>No chaos engineering / fault injection testing performed</t>
        </is>
      </c>
      <c r="D10" s="3" t="inlineStr">
        <is>
          <t>Low</t>
        </is>
      </c>
      <c r="E10" s="3" t="inlineStr">
        <is>
          <t>Unknown failure modes; SLA claims unverified</t>
        </is>
      </c>
      <c r="F10" s="3" t="inlineStr">
        <is>
          <t>All critical services</t>
        </is>
      </c>
      <c r="G10" s="3" t="inlineStr">
        <is>
          <t>Run Azure Chaos Studio experiments: VM shutdown, AZ failure, network partition</t>
        </is>
      </c>
      <c r="H10" s="3" t="inlineStr">
        <is>
          <t>1. Deploy Azure Chaos Studio. 2. Run VM stop experiment. 3. Run network delay experiment. 4. Document results.</t>
        </is>
      </c>
      <c r="I10" s="3" t="inlineStr">
        <is>
          <t>&lt;&lt;Owner&gt;&gt;</t>
        </is>
      </c>
      <c r="J10" s="3" t="inlineStr">
        <is>
          <t>Open</t>
        </is>
      </c>
      <c r="K10" s="3" t="inlineStr">
        <is>
          <t>Chaos Studio reports show recovery within SLA</t>
        </is>
      </c>
      <c r="L10" s="3" t="inlineStr">
        <is>
          <t>B.2.2</t>
        </is>
      </c>
    </row>
    <row r="11">
      <c r="A11" s="3" t="inlineStr">
        <is>
          <t>REL-009</t>
        </is>
      </c>
      <c r="B11" s="3" t="inlineStr">
        <is>
          <t>Firewall</t>
        </is>
      </c>
      <c r="C11" s="3" t="inlineStr">
        <is>
          <t>Azure Firewall deployed without Availability Zone configuration</t>
        </is>
      </c>
      <c r="D11" s="3" t="inlineStr">
        <is>
          <t>High</t>
        </is>
      </c>
      <c r="E11" s="3" t="inlineStr">
        <is>
          <t>Firewall instance failure interrupts all spoke egress</t>
        </is>
      </c>
      <c r="F11" s="3" t="inlineStr">
        <is>
          <t>cfs-hub-fw-swc</t>
        </is>
      </c>
      <c r="G11" s="3" t="inlineStr">
        <is>
          <t>Redeploy Azure Firewall with AZ=1,2,3 in zone-redundant subnet</t>
        </is>
      </c>
      <c r="H11" s="3" t="inlineStr">
        <is>
          <t>1. Redeploy Firewall in AZs 1-2-3. 2. Firewall subnet must be /26+. 3. Update UDRs. 4. Verify routes.</t>
        </is>
      </c>
      <c r="I11" s="3" t="inlineStr">
        <is>
          <t>&lt;&lt;Owner&gt;&gt;</t>
        </is>
      </c>
      <c r="J11" s="3" t="inlineStr">
        <is>
          <t>Open</t>
        </is>
      </c>
      <c r="K11" s="3" t="inlineStr">
        <is>
          <t>Firewall ARM shows zones=[1,2,3]</t>
        </is>
      </c>
      <c r="L11" s="3" t="inlineStr">
        <is>
          <t>B.2.2</t>
        </is>
      </c>
    </row>
    <row r="12">
      <c r="A12" s="20" t="n"/>
      <c r="B12" s="20" t="n"/>
      <c r="C12" s="20" t="n"/>
      <c r="D12" s="21" t="n"/>
      <c r="E12" s="20" t="n"/>
      <c r="F12" s="20" t="n"/>
      <c r="G12" s="20" t="n"/>
      <c r="H12" s="20" t="n"/>
      <c r="I12" s="20" t="n"/>
      <c r="J12" s="21" t="n"/>
      <c r="K12" s="20" t="n"/>
      <c r="L12" s="20" t="n"/>
    </row>
    <row r="13">
      <c r="A13" s="20" t="n"/>
      <c r="B13" s="20" t="n"/>
      <c r="C13" s="20" t="n"/>
      <c r="D13" s="21" t="n"/>
      <c r="E13" s="20" t="n"/>
      <c r="F13" s="20" t="n"/>
      <c r="G13" s="20" t="n"/>
      <c r="H13" s="20" t="n"/>
      <c r="I13" s="20" t="n"/>
      <c r="J13" s="21" t="n"/>
      <c r="K13" s="20" t="n"/>
      <c r="L13" s="20" t="n"/>
    </row>
    <row r="14">
      <c r="A14" s="20" t="n"/>
      <c r="B14" s="20" t="n"/>
      <c r="C14" s="20" t="n"/>
      <c r="D14" s="21" t="n"/>
      <c r="E14" s="20" t="n"/>
      <c r="F14" s="20" t="n"/>
      <c r="G14" s="20" t="n"/>
      <c r="H14" s="20" t="n"/>
      <c r="I14" s="20" t="n"/>
      <c r="J14" s="21" t="n"/>
      <c r="K14" s="20" t="n"/>
      <c r="L14" s="20" t="n"/>
    </row>
    <row r="15">
      <c r="A15" s="20" t="n"/>
      <c r="B15" s="20" t="n"/>
      <c r="C15" s="20" t="n"/>
      <c r="D15" s="21" t="n"/>
      <c r="E15" s="20" t="n"/>
      <c r="F15" s="20" t="n"/>
      <c r="G15" s="20" t="n"/>
      <c r="H15" s="20" t="n"/>
      <c r="I15" s="20" t="n"/>
      <c r="J15" s="21" t="n"/>
      <c r="K15" s="20" t="n"/>
      <c r="L15" s="20" t="n"/>
    </row>
    <row r="16">
      <c r="A16" s="20" t="n"/>
      <c r="B16" s="20" t="n"/>
      <c r="C16" s="20" t="n"/>
      <c r="D16" s="21" t="n"/>
      <c r="E16" s="20" t="n"/>
      <c r="F16" s="20" t="n"/>
      <c r="G16" s="20" t="n"/>
      <c r="H16" s="20" t="n"/>
      <c r="I16" s="20" t="n"/>
      <c r="J16" s="21" t="n"/>
      <c r="K16" s="20" t="n"/>
      <c r="L16" s="20" t="n"/>
    </row>
    <row r="17">
      <c r="A17" s="20" t="n"/>
      <c r="B17" s="20" t="n"/>
      <c r="C17" s="20" t="n"/>
      <c r="D17" s="21" t="n"/>
      <c r="E17" s="20" t="n"/>
      <c r="F17" s="20" t="n"/>
      <c r="G17" s="20" t="n"/>
      <c r="H17" s="20" t="n"/>
      <c r="I17" s="20" t="n"/>
      <c r="J17" s="21" t="n"/>
      <c r="K17" s="20" t="n"/>
      <c r="L17" s="20" t="n"/>
    </row>
    <row r="18">
      <c r="A18" s="20" t="n"/>
      <c r="B18" s="20" t="n"/>
      <c r="C18" s="20" t="n"/>
      <c r="D18" s="21" t="n"/>
      <c r="E18" s="20" t="n"/>
      <c r="F18" s="20" t="n"/>
      <c r="G18" s="20" t="n"/>
      <c r="H18" s="20" t="n"/>
      <c r="I18" s="20" t="n"/>
      <c r="J18" s="21" t="n"/>
      <c r="K18" s="20" t="n"/>
      <c r="L18" s="20" t="n"/>
    </row>
    <row r="19">
      <c r="A19" s="20" t="n"/>
      <c r="B19" s="20" t="n"/>
      <c r="C19" s="20" t="n"/>
      <c r="D19" s="21" t="n"/>
      <c r="E19" s="20" t="n"/>
      <c r="F19" s="20" t="n"/>
      <c r="G19" s="20" t="n"/>
      <c r="H19" s="20" t="n"/>
      <c r="I19" s="20" t="n"/>
      <c r="J19" s="21" t="n"/>
      <c r="K19" s="20" t="n"/>
      <c r="L19" s="20" t="n"/>
    </row>
    <row r="20">
      <c r="A20" s="20" t="n"/>
      <c r="B20" s="20" t="n"/>
      <c r="C20" s="20" t="n"/>
      <c r="D20" s="21" t="n"/>
      <c r="E20" s="20" t="n"/>
      <c r="F20" s="20" t="n"/>
      <c r="G20" s="20" t="n"/>
      <c r="H20" s="20" t="n"/>
      <c r="I20" s="20" t="n"/>
      <c r="J20" s="21" t="n"/>
      <c r="K20" s="20" t="n"/>
      <c r="L20" s="20" t="n"/>
    </row>
    <row r="21">
      <c r="A21" s="20" t="n"/>
      <c r="B21" s="20" t="n"/>
      <c r="C21" s="20" t="n"/>
      <c r="D21" s="21" t="n"/>
      <c r="E21" s="20" t="n"/>
      <c r="F21" s="20" t="n"/>
      <c r="G21" s="20" t="n"/>
      <c r="H21" s="20" t="n"/>
      <c r="I21" s="20" t="n"/>
      <c r="J21" s="21" t="n"/>
      <c r="K21" s="20" t="n"/>
      <c r="L21" s="20" t="n"/>
    </row>
  </sheetData>
  <mergeCells count="1">
    <mergeCell ref="A1:L1"/>
  </mergeCells>
  <dataValidations count="2">
    <dataValidation sqref="D3:D200" showDropDown="0" showInputMessage="0" showErrorMessage="0" allowBlank="0" type="list">
      <formula1>"Critical,High,Medium,Low"</formula1>
    </dataValidation>
    <dataValidation sqref="J3:J200" showDropDown="0" showInputMessage="0" showErrorMessage="0" allowBlank="0" type="list">
      <formula1>"Open,In Progress,Closed,Accepted Risk"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2" customWidth="1" min="1" max="1"/>
    <col width="22" customWidth="1" min="2" max="2"/>
    <col width="55" customWidth="1" min="3" max="3"/>
    <col width="12" customWidth="1" min="4" max="4"/>
    <col width="30" customWidth="1" min="5" max="5"/>
    <col width="30" customWidth="1" min="6" max="6"/>
    <col width="45" customWidth="1" min="7" max="7"/>
    <col width="55" customWidth="1" min="8" max="8"/>
    <col width="20" customWidth="1" min="9" max="9"/>
    <col width="14" customWidth="1" min="10" max="10"/>
    <col width="40" customWidth="1" min="11" max="11"/>
    <col width="12" customWidth="1" min="12" max="12"/>
  </cols>
  <sheetData>
    <row r="1" ht="30" customHeight="1">
      <c r="A1" s="24" t="inlineStr">
        <is>
          <t>WAF Pillar: Operational Excellence — Contoso Financial Services</t>
        </is>
      </c>
    </row>
    <row r="2">
      <c r="A2" s="25" t="inlineStr">
        <is>
          <t>Finding-ID</t>
        </is>
      </c>
      <c r="B2" s="25" t="inlineStr">
        <is>
          <t>Category</t>
        </is>
      </c>
      <c r="C2" s="25" t="inlineStr">
        <is>
          <t>Finding / Risk Description</t>
        </is>
      </c>
      <c r="D2" s="25" t="inlineStr">
        <is>
          <t>Severity</t>
        </is>
      </c>
      <c r="E2" s="25" t="inlineStr">
        <is>
          <t>Impact</t>
        </is>
      </c>
      <c r="F2" s="25" t="inlineStr">
        <is>
          <t>Affected Resource / Service</t>
        </is>
      </c>
      <c r="G2" s="25" t="inlineStr">
        <is>
          <t>WAF Recommendation</t>
        </is>
      </c>
      <c r="H2" s="25" t="inlineStr">
        <is>
          <t>Remediation Action</t>
        </is>
      </c>
      <c r="I2" s="25" t="inlineStr">
        <is>
          <t>Owner</t>
        </is>
      </c>
      <c r="J2" s="25" t="inlineStr">
        <is>
          <t>Status</t>
        </is>
      </c>
      <c r="K2" s="25" t="inlineStr">
        <is>
          <t>Evidence / Notes</t>
        </is>
      </c>
      <c r="L2" s="25" t="inlineStr">
        <is>
          <t>Control Ref</t>
        </is>
      </c>
    </row>
    <row r="3">
      <c r="A3" s="3" t="inlineStr">
        <is>
          <t>OE-001</t>
        </is>
      </c>
      <c r="B3" s="3" t="inlineStr">
        <is>
          <t>IaC</t>
        </is>
      </c>
      <c r="C3" s="3" t="inlineStr">
        <is>
          <t>Infrastructure deployed manually via portal — not reproducible via IaC</t>
        </is>
      </c>
      <c r="D3" s="3" t="inlineStr">
        <is>
          <t>High</t>
        </is>
      </c>
      <c r="E3" s="3" t="inlineStr">
        <is>
          <t>No repeatability; configuration drift; violates CAF policy</t>
        </is>
      </c>
      <c r="F3" s="3" t="inlineStr">
        <is>
          <t>All resources</t>
        </is>
      </c>
      <c r="G3" s="3" t="inlineStr">
        <is>
          <t>All resources deployed via Bicep or Terraform AVM; CI/CD via GitHub Actions OIDC</t>
        </is>
      </c>
      <c r="H3" s="3" t="inlineStr">
        <is>
          <t>1. Import existing resources to IaC using aztfexport or az bicep decompile. 2. Set up CI/CD pipeline.</t>
        </is>
      </c>
      <c r="I3" s="3" t="inlineStr">
        <is>
          <t>&lt;&lt;Owner&gt;&gt;</t>
        </is>
      </c>
      <c r="J3" s="3" t="inlineStr">
        <is>
          <t>Open</t>
        </is>
      </c>
      <c r="K3" s="3" t="inlineStr">
        <is>
          <t>Redeploy from IaC produces identical environment</t>
        </is>
      </c>
      <c r="L3" s="3" t="inlineStr">
        <is>
          <t>B.2.2</t>
        </is>
      </c>
    </row>
    <row r="4">
      <c r="A4" s="3" t="inlineStr">
        <is>
          <t>OE-002</t>
        </is>
      </c>
      <c r="B4" s="3" t="inlineStr">
        <is>
          <t>Alerting</t>
        </is>
      </c>
      <c r="C4" s="3" t="inlineStr">
        <is>
          <t>No Azure Monitor alert rules configured for critical thresholds</t>
        </is>
      </c>
      <c r="D4" s="3" t="inlineStr">
        <is>
          <t>Medium</t>
        </is>
      </c>
      <c r="E4" s="3" t="inlineStr">
        <is>
          <t>Operations team unaware of issues until customer impact</t>
        </is>
      </c>
      <c r="F4" s="3" t="inlineStr">
        <is>
          <t>Azure Monitor</t>
        </is>
      </c>
      <c r="G4" s="3" t="inlineStr">
        <is>
          <t>Create alert rules: Firewall health, VPN tunnel down, LB backend health, high CPU</t>
        </is>
      </c>
      <c r="H4" s="3" t="inlineStr">
        <is>
          <t>1. Define alert runbook. 2. Create action group (email + Teams). 3. Create metric alerts for each service.</t>
        </is>
      </c>
      <c r="I4" s="3" t="inlineStr">
        <is>
          <t>&lt;&lt;Owner&gt;&gt;</t>
        </is>
      </c>
      <c r="J4" s="3" t="inlineStr">
        <is>
          <t>Open</t>
        </is>
      </c>
      <c r="K4" s="3" t="inlineStr">
        <is>
          <t>Test alerts fire correctly in Monitor</t>
        </is>
      </c>
      <c r="L4" s="3" t="inlineStr">
        <is>
          <t>B.2.2</t>
        </is>
      </c>
    </row>
    <row r="5">
      <c r="A5" s="3" t="inlineStr">
        <is>
          <t>OE-003</t>
        </is>
      </c>
      <c r="B5" s="3" t="inlineStr">
        <is>
          <t>Change Management</t>
        </is>
      </c>
      <c r="C5" s="3" t="inlineStr">
        <is>
          <t>No change control process documented for network changes</t>
        </is>
      </c>
      <c r="D5" s="3" t="inlineStr">
        <is>
          <t>Medium</t>
        </is>
      </c>
      <c r="E5" s="3" t="inlineStr">
        <is>
          <t>Uncontrolled changes risk outages and compliance violations</t>
        </is>
      </c>
      <c r="F5" s="3" t="inlineStr">
        <is>
          <t>Process</t>
        </is>
      </c>
      <c r="G5" s="3" t="inlineStr">
        <is>
          <t>Document change management SOP; require What-If/Plan before apply</t>
        </is>
      </c>
      <c r="H5" s="3" t="inlineStr">
        <is>
          <t>1. Write SOP (see B4.2_SOPs). 2. Enforce PR review for IaC changes. 3. Require CAB approval for Firewall policy changes.</t>
        </is>
      </c>
      <c r="I5" s="3" t="inlineStr">
        <is>
          <t>&lt;&lt;Owner&gt;&gt;</t>
        </is>
      </c>
      <c r="J5" s="3" t="inlineStr">
        <is>
          <t>Open</t>
        </is>
      </c>
      <c r="K5" s="3" t="inlineStr">
        <is>
          <t>SOP documented and signed off</t>
        </is>
      </c>
      <c r="L5" s="3" t="inlineStr">
        <is>
          <t>B.2.2</t>
        </is>
      </c>
    </row>
    <row r="6">
      <c r="A6" s="20" t="n"/>
      <c r="B6" s="20" t="n"/>
      <c r="C6" s="20" t="n"/>
      <c r="D6" s="21" t="n"/>
      <c r="E6" s="20" t="n"/>
      <c r="F6" s="20" t="n"/>
      <c r="G6" s="20" t="n"/>
      <c r="H6" s="20" t="n"/>
      <c r="I6" s="20" t="n"/>
      <c r="J6" s="21" t="n"/>
      <c r="K6" s="20" t="n"/>
      <c r="L6" s="20" t="n"/>
    </row>
    <row r="7">
      <c r="A7" s="20" t="n"/>
      <c r="B7" s="20" t="n"/>
      <c r="C7" s="20" t="n"/>
      <c r="D7" s="21" t="n"/>
      <c r="E7" s="20" t="n"/>
      <c r="F7" s="20" t="n"/>
      <c r="G7" s="20" t="n"/>
      <c r="H7" s="20" t="n"/>
      <c r="I7" s="20" t="n"/>
      <c r="J7" s="21" t="n"/>
      <c r="K7" s="20" t="n"/>
      <c r="L7" s="20" t="n"/>
    </row>
    <row r="8">
      <c r="A8" s="20" t="n"/>
      <c r="B8" s="20" t="n"/>
      <c r="C8" s="20" t="n"/>
      <c r="D8" s="21" t="n"/>
      <c r="E8" s="20" t="n"/>
      <c r="F8" s="20" t="n"/>
      <c r="G8" s="20" t="n"/>
      <c r="H8" s="20" t="n"/>
      <c r="I8" s="20" t="n"/>
      <c r="J8" s="21" t="n"/>
      <c r="K8" s="20" t="n"/>
      <c r="L8" s="20" t="n"/>
    </row>
    <row r="9">
      <c r="A9" s="20" t="n"/>
      <c r="B9" s="20" t="n"/>
      <c r="C9" s="20" t="n"/>
      <c r="D9" s="21" t="n"/>
      <c r="E9" s="20" t="n"/>
      <c r="F9" s="20" t="n"/>
      <c r="G9" s="20" t="n"/>
      <c r="H9" s="20" t="n"/>
      <c r="I9" s="20" t="n"/>
      <c r="J9" s="21" t="n"/>
      <c r="K9" s="20" t="n"/>
      <c r="L9" s="20" t="n"/>
    </row>
    <row r="10">
      <c r="A10" s="20" t="n"/>
      <c r="B10" s="20" t="n"/>
      <c r="C10" s="20" t="n"/>
      <c r="D10" s="21" t="n"/>
      <c r="E10" s="20" t="n"/>
      <c r="F10" s="20" t="n"/>
      <c r="G10" s="20" t="n"/>
      <c r="H10" s="20" t="n"/>
      <c r="I10" s="20" t="n"/>
      <c r="J10" s="21" t="n"/>
      <c r="K10" s="20" t="n"/>
      <c r="L10" s="20" t="n"/>
    </row>
    <row r="11">
      <c r="A11" s="20" t="n"/>
      <c r="B11" s="20" t="n"/>
      <c r="C11" s="20" t="n"/>
      <c r="D11" s="21" t="n"/>
      <c r="E11" s="20" t="n"/>
      <c r="F11" s="20" t="n"/>
      <c r="G11" s="20" t="n"/>
      <c r="H11" s="20" t="n"/>
      <c r="I11" s="20" t="n"/>
      <c r="J11" s="21" t="n"/>
      <c r="K11" s="20" t="n"/>
      <c r="L11" s="20" t="n"/>
    </row>
    <row r="12">
      <c r="A12" s="20" t="n"/>
      <c r="B12" s="20" t="n"/>
      <c r="C12" s="20" t="n"/>
      <c r="D12" s="21" t="n"/>
      <c r="E12" s="20" t="n"/>
      <c r="F12" s="20" t="n"/>
      <c r="G12" s="20" t="n"/>
      <c r="H12" s="20" t="n"/>
      <c r="I12" s="20" t="n"/>
      <c r="J12" s="21" t="n"/>
      <c r="K12" s="20" t="n"/>
      <c r="L12" s="20" t="n"/>
    </row>
    <row r="13">
      <c r="A13" s="20" t="n"/>
      <c r="B13" s="20" t="n"/>
      <c r="C13" s="20" t="n"/>
      <c r="D13" s="21" t="n"/>
      <c r="E13" s="20" t="n"/>
      <c r="F13" s="20" t="n"/>
      <c r="G13" s="20" t="n"/>
      <c r="H13" s="20" t="n"/>
      <c r="I13" s="20" t="n"/>
      <c r="J13" s="21" t="n"/>
      <c r="K13" s="20" t="n"/>
      <c r="L13" s="20" t="n"/>
    </row>
    <row r="14">
      <c r="A14" s="20" t="n"/>
      <c r="B14" s="20" t="n"/>
      <c r="C14" s="20" t="n"/>
      <c r="D14" s="21" t="n"/>
      <c r="E14" s="20" t="n"/>
      <c r="F14" s="20" t="n"/>
      <c r="G14" s="20" t="n"/>
      <c r="H14" s="20" t="n"/>
      <c r="I14" s="20" t="n"/>
      <c r="J14" s="21" t="n"/>
      <c r="K14" s="20" t="n"/>
      <c r="L14" s="20" t="n"/>
    </row>
    <row r="15">
      <c r="A15" s="20" t="n"/>
      <c r="B15" s="20" t="n"/>
      <c r="C15" s="20" t="n"/>
      <c r="D15" s="21" t="n"/>
      <c r="E15" s="20" t="n"/>
      <c r="F15" s="20" t="n"/>
      <c r="G15" s="20" t="n"/>
      <c r="H15" s="20" t="n"/>
      <c r="I15" s="20" t="n"/>
      <c r="J15" s="21" t="n"/>
      <c r="K15" s="20" t="n"/>
      <c r="L15" s="20" t="n"/>
    </row>
  </sheetData>
  <mergeCells count="1">
    <mergeCell ref="A1:L1"/>
  </mergeCells>
  <dataValidations count="2">
    <dataValidation sqref="D3:D200" showDropDown="0" showInputMessage="0" showErrorMessage="0" allowBlank="0" type="list">
      <formula1>"Critical,High,Medium,Low"</formula1>
    </dataValidation>
    <dataValidation sqref="J3:J200" showDropDown="0" showInputMessage="0" showErrorMessage="0" allowBlank="0" type="list">
      <formula1>"Open,In Progress,Closed,Accepted Risk"</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 width="22" customWidth="1" min="2" max="2"/>
    <col width="55" customWidth="1" min="3" max="3"/>
    <col width="12" customWidth="1" min="4" max="4"/>
    <col width="30" customWidth="1" min="5" max="5"/>
    <col width="30" customWidth="1" min="6" max="6"/>
    <col width="45" customWidth="1" min="7" max="7"/>
    <col width="55" customWidth="1" min="8" max="8"/>
    <col width="20" customWidth="1" min="9" max="9"/>
    <col width="14" customWidth="1" min="10" max="10"/>
    <col width="40" customWidth="1" min="11" max="11"/>
    <col width="12" customWidth="1" min="12" max="12"/>
  </cols>
  <sheetData>
    <row r="1" ht="30" customHeight="1">
      <c r="A1" s="26" t="inlineStr">
        <is>
          <t>WAF Pillar: Performance Efficiency — Contoso Financial Services</t>
        </is>
      </c>
    </row>
    <row r="2">
      <c r="A2" s="27" t="inlineStr">
        <is>
          <t>Finding-ID</t>
        </is>
      </c>
      <c r="B2" s="27" t="inlineStr">
        <is>
          <t>Category</t>
        </is>
      </c>
      <c r="C2" s="27" t="inlineStr">
        <is>
          <t>Finding / Risk Description</t>
        </is>
      </c>
      <c r="D2" s="27" t="inlineStr">
        <is>
          <t>Severity</t>
        </is>
      </c>
      <c r="E2" s="27" t="inlineStr">
        <is>
          <t>Impact</t>
        </is>
      </c>
      <c r="F2" s="27" t="inlineStr">
        <is>
          <t>Affected Resource / Service</t>
        </is>
      </c>
      <c r="G2" s="27" t="inlineStr">
        <is>
          <t>WAF Recommendation</t>
        </is>
      </c>
      <c r="H2" s="27" t="inlineStr">
        <is>
          <t>Remediation Action</t>
        </is>
      </c>
      <c r="I2" s="27" t="inlineStr">
        <is>
          <t>Owner</t>
        </is>
      </c>
      <c r="J2" s="27" t="inlineStr">
        <is>
          <t>Status</t>
        </is>
      </c>
      <c r="K2" s="27" t="inlineStr">
        <is>
          <t>Evidence / Notes</t>
        </is>
      </c>
      <c r="L2" s="27" t="inlineStr">
        <is>
          <t>Control Ref</t>
        </is>
      </c>
    </row>
    <row r="3">
      <c r="A3" s="3" t="inlineStr">
        <is>
          <t>PERF-001</t>
        </is>
      </c>
      <c r="B3" s="3" t="inlineStr">
        <is>
          <t>Throughput</t>
        </is>
      </c>
      <c r="C3" s="3" t="inlineStr">
        <is>
          <t>Azure Firewall throughput not sized for peak traffic</t>
        </is>
      </c>
      <c r="D3" s="3" t="inlineStr">
        <is>
          <t>Medium</t>
        </is>
      </c>
      <c r="E3" s="3" t="inlineStr">
        <is>
          <t>Performance bottleneck at Firewall under peak load</t>
        </is>
      </c>
      <c r="F3" s="3" t="inlineStr">
        <is>
          <t>cfs-hub-fw-swc</t>
        </is>
      </c>
      <c r="G3" s="3" t="inlineStr">
        <is>
          <t>Size Firewall SKU (Standard vs Premium) based on throughput requirements; enable Firewall autoscaling if Premium</t>
        </is>
      </c>
      <c r="H3" s="3" t="inlineStr">
        <is>
          <t>1. Baseline current throughput. 2. Project peak load. 3. If &gt;30 Gbps: consider VWAN + Secured Hub.</t>
        </is>
      </c>
      <c r="I3" s="3" t="inlineStr">
        <is>
          <t>&lt;&lt;Owner&gt;&gt;</t>
        </is>
      </c>
      <c r="J3" s="3" t="inlineStr">
        <is>
          <t>Open</t>
        </is>
      </c>
      <c r="K3" s="3" t="inlineStr">
        <is>
          <t>Load test shows &lt;100ms latency at P95</t>
        </is>
      </c>
      <c r="L3" s="3" t="inlineStr">
        <is>
          <t>B.2.2</t>
        </is>
      </c>
    </row>
    <row r="4">
      <c r="A4" s="3" t="inlineStr">
        <is>
          <t>PERF-002</t>
        </is>
      </c>
      <c r="B4" s="3" t="inlineStr">
        <is>
          <t>Latency</t>
        </is>
      </c>
      <c r="C4" s="3" t="inlineStr">
        <is>
          <t>Front Door origin is compute VM instead of App Gateway (extra hop)</t>
        </is>
      </c>
      <c r="D4" s="3" t="inlineStr">
        <is>
          <t>Low</t>
        </is>
      </c>
      <c r="E4" s="3" t="inlineStr">
        <is>
          <t>Unnecessary latency; AFD health probes hit wrong origin</t>
        </is>
      </c>
      <c r="F4" s="3" t="inlineStr">
        <is>
          <t>cfs-edge-afd-swc</t>
        </is>
      </c>
      <c r="G4" s="3" t="inlineStr">
        <is>
          <t>Set AFD origin to App Gateway private IP / hostname; not directly to VMs</t>
        </is>
      </c>
      <c r="H4" s="3" t="inlineStr">
        <is>
          <t>1. Update AFD origin group to point to App Gateway listener. 2. Update health probe path.</t>
        </is>
      </c>
      <c r="I4" s="3" t="inlineStr">
        <is>
          <t>&lt;&lt;Owner&gt;&gt;</t>
        </is>
      </c>
      <c r="J4" s="3" t="inlineStr">
        <is>
          <t>Open</t>
        </is>
      </c>
      <c r="K4" s="3" t="inlineStr">
        <is>
          <t>AFD metrics show latency improvement</t>
        </is>
      </c>
      <c r="L4" s="3" t="inlineStr">
        <is>
          <t>B.2.2</t>
        </is>
      </c>
    </row>
    <row r="5">
      <c r="A5" s="20" t="n"/>
      <c r="B5" s="20" t="n"/>
      <c r="C5" s="20" t="n"/>
      <c r="D5" s="21" t="n"/>
      <c r="E5" s="20" t="n"/>
      <c r="F5" s="20" t="n"/>
      <c r="G5" s="20" t="n"/>
      <c r="H5" s="20" t="n"/>
      <c r="I5" s="20" t="n"/>
      <c r="J5" s="21" t="n"/>
      <c r="K5" s="20" t="n"/>
      <c r="L5" s="20" t="n"/>
    </row>
    <row r="6">
      <c r="A6" s="20" t="n"/>
      <c r="B6" s="20" t="n"/>
      <c r="C6" s="20" t="n"/>
      <c r="D6" s="21" t="n"/>
      <c r="E6" s="20" t="n"/>
      <c r="F6" s="20" t="n"/>
      <c r="G6" s="20" t="n"/>
      <c r="H6" s="20" t="n"/>
      <c r="I6" s="20" t="n"/>
      <c r="J6" s="21" t="n"/>
      <c r="K6" s="20" t="n"/>
      <c r="L6" s="20" t="n"/>
    </row>
    <row r="7">
      <c r="A7" s="20" t="n"/>
      <c r="B7" s="20" t="n"/>
      <c r="C7" s="20" t="n"/>
      <c r="D7" s="21" t="n"/>
      <c r="E7" s="20" t="n"/>
      <c r="F7" s="20" t="n"/>
      <c r="G7" s="20" t="n"/>
      <c r="H7" s="20" t="n"/>
      <c r="I7" s="20" t="n"/>
      <c r="J7" s="21" t="n"/>
      <c r="K7" s="20" t="n"/>
      <c r="L7" s="20" t="n"/>
    </row>
    <row r="8">
      <c r="A8" s="20" t="n"/>
      <c r="B8" s="20" t="n"/>
      <c r="C8" s="20" t="n"/>
      <c r="D8" s="21" t="n"/>
      <c r="E8" s="20" t="n"/>
      <c r="F8" s="20" t="n"/>
      <c r="G8" s="20" t="n"/>
      <c r="H8" s="20" t="n"/>
      <c r="I8" s="20" t="n"/>
      <c r="J8" s="21" t="n"/>
      <c r="K8" s="20" t="n"/>
      <c r="L8" s="20" t="n"/>
    </row>
    <row r="9">
      <c r="A9" s="20" t="n"/>
      <c r="B9" s="20" t="n"/>
      <c r="C9" s="20" t="n"/>
      <c r="D9" s="21" t="n"/>
      <c r="E9" s="20" t="n"/>
      <c r="F9" s="20" t="n"/>
      <c r="G9" s="20" t="n"/>
      <c r="H9" s="20" t="n"/>
      <c r="I9" s="20" t="n"/>
      <c r="J9" s="21" t="n"/>
      <c r="K9" s="20" t="n"/>
      <c r="L9" s="20" t="n"/>
    </row>
    <row r="10">
      <c r="A10" s="20" t="n"/>
      <c r="B10" s="20" t="n"/>
      <c r="C10" s="20" t="n"/>
      <c r="D10" s="21" t="n"/>
      <c r="E10" s="20" t="n"/>
      <c r="F10" s="20" t="n"/>
      <c r="G10" s="20" t="n"/>
      <c r="H10" s="20" t="n"/>
      <c r="I10" s="20" t="n"/>
      <c r="J10" s="21" t="n"/>
      <c r="K10" s="20" t="n"/>
      <c r="L10" s="20" t="n"/>
    </row>
    <row r="11">
      <c r="A11" s="20" t="n"/>
      <c r="B11" s="20" t="n"/>
      <c r="C11" s="20" t="n"/>
      <c r="D11" s="21" t="n"/>
      <c r="E11" s="20" t="n"/>
      <c r="F11" s="20" t="n"/>
      <c r="G11" s="20" t="n"/>
      <c r="H11" s="20" t="n"/>
      <c r="I11" s="20" t="n"/>
      <c r="J11" s="21" t="n"/>
      <c r="K11" s="20" t="n"/>
      <c r="L11" s="20" t="n"/>
    </row>
    <row r="12">
      <c r="A12" s="20" t="n"/>
      <c r="B12" s="20" t="n"/>
      <c r="C12" s="20" t="n"/>
      <c r="D12" s="21" t="n"/>
      <c r="E12" s="20" t="n"/>
      <c r="F12" s="20" t="n"/>
      <c r="G12" s="20" t="n"/>
      <c r="H12" s="20" t="n"/>
      <c r="I12" s="20" t="n"/>
      <c r="J12" s="21" t="n"/>
      <c r="K12" s="20" t="n"/>
      <c r="L12" s="20" t="n"/>
    </row>
    <row r="13">
      <c r="A13" s="20" t="n"/>
      <c r="B13" s="20" t="n"/>
      <c r="C13" s="20" t="n"/>
      <c r="D13" s="21" t="n"/>
      <c r="E13" s="20" t="n"/>
      <c r="F13" s="20" t="n"/>
      <c r="G13" s="20" t="n"/>
      <c r="H13" s="20" t="n"/>
      <c r="I13" s="20" t="n"/>
      <c r="J13" s="21" t="n"/>
      <c r="K13" s="20" t="n"/>
      <c r="L13" s="20" t="n"/>
    </row>
    <row r="14">
      <c r="A14" s="20" t="n"/>
      <c r="B14" s="20" t="n"/>
      <c r="C14" s="20" t="n"/>
      <c r="D14" s="21" t="n"/>
      <c r="E14" s="20" t="n"/>
      <c r="F14" s="20" t="n"/>
      <c r="G14" s="20" t="n"/>
      <c r="H14" s="20" t="n"/>
      <c r="I14" s="20" t="n"/>
      <c r="J14" s="21" t="n"/>
      <c r="K14" s="20" t="n"/>
      <c r="L14" s="20" t="n"/>
    </row>
  </sheetData>
  <mergeCells count="1">
    <mergeCell ref="A1:L1"/>
  </mergeCells>
  <dataValidations count="2">
    <dataValidation sqref="D3:D200" showDropDown="0" showInputMessage="0" showErrorMessage="0" allowBlank="0" type="list">
      <formula1>"Critical,High,Medium,Low"</formula1>
    </dataValidation>
    <dataValidation sqref="J3:J200" showDropDown="0" showInputMessage="0" showErrorMessage="0" allowBlank="0" type="list">
      <formula1>"Open,In Progress,Closed,Accepted Risk"</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 width="22" customWidth="1" min="2" max="2"/>
    <col width="55" customWidth="1" min="3" max="3"/>
    <col width="12" customWidth="1" min="4" max="4"/>
    <col width="30" customWidth="1" min="5" max="5"/>
    <col width="30" customWidth="1" min="6" max="6"/>
    <col width="45" customWidth="1" min="7" max="7"/>
    <col width="55" customWidth="1" min="8" max="8"/>
    <col width="20" customWidth="1" min="9" max="9"/>
    <col width="14" customWidth="1" min="10" max="10"/>
    <col width="40" customWidth="1" min="11" max="11"/>
    <col width="12" customWidth="1" min="12" max="12"/>
  </cols>
  <sheetData>
    <row r="1" ht="30" customHeight="1">
      <c r="A1" s="28" t="inlineStr">
        <is>
          <t>WAF Pillar: Cost Optimization — Contoso Financial Services</t>
        </is>
      </c>
    </row>
    <row r="2">
      <c r="A2" s="29" t="inlineStr">
        <is>
          <t>Finding-ID</t>
        </is>
      </c>
      <c r="B2" s="29" t="inlineStr">
        <is>
          <t>Category</t>
        </is>
      </c>
      <c r="C2" s="29" t="inlineStr">
        <is>
          <t>Finding / Risk Description</t>
        </is>
      </c>
      <c r="D2" s="29" t="inlineStr">
        <is>
          <t>Severity</t>
        </is>
      </c>
      <c r="E2" s="29" t="inlineStr">
        <is>
          <t>Impact</t>
        </is>
      </c>
      <c r="F2" s="29" t="inlineStr">
        <is>
          <t>Affected Resource / Service</t>
        </is>
      </c>
      <c r="G2" s="29" t="inlineStr">
        <is>
          <t>WAF Recommendation</t>
        </is>
      </c>
      <c r="H2" s="29" t="inlineStr">
        <is>
          <t>Remediation Action</t>
        </is>
      </c>
      <c r="I2" s="29" t="inlineStr">
        <is>
          <t>Owner</t>
        </is>
      </c>
      <c r="J2" s="29" t="inlineStr">
        <is>
          <t>Status</t>
        </is>
      </c>
      <c r="K2" s="29" t="inlineStr">
        <is>
          <t>Evidence / Notes</t>
        </is>
      </c>
      <c r="L2" s="29" t="inlineStr">
        <is>
          <t>Control Ref</t>
        </is>
      </c>
    </row>
    <row r="3">
      <c r="A3" s="3" t="inlineStr">
        <is>
          <t>COST-001</t>
        </is>
      </c>
      <c r="B3" s="3" t="inlineStr">
        <is>
          <t>Waste</t>
        </is>
      </c>
      <c r="C3" s="3" t="inlineStr">
        <is>
          <t>Azure Firewall running 24/7 in lab — unnecessary overnight cost</t>
        </is>
      </c>
      <c r="D3" s="3" t="inlineStr">
        <is>
          <t>Low</t>
        </is>
      </c>
      <c r="E3" s="3" t="inlineStr">
        <is>
          <t>Excessive cost for non-production lab environment</t>
        </is>
      </c>
      <c r="F3" s="3" t="inlineStr">
        <is>
          <t>cfs-hub-fw-swc</t>
        </is>
      </c>
      <c r="G3" s="3" t="inlineStr">
        <is>
          <t>Use Azure Firewall Manager policy to stop/start Firewall; use Azure Automation runbook</t>
        </is>
      </c>
      <c r="H3" s="3" t="inlineStr">
        <is>
          <t>1. Deploy runbook to stop FW at 18:00 and start at 08:00. 2. Verify IaC can redeploy.</t>
        </is>
      </c>
      <c r="I3" s="3" t="inlineStr">
        <is>
          <t>&lt;&lt;Owner&gt;&gt;</t>
        </is>
      </c>
      <c r="J3" s="3" t="inlineStr">
        <is>
          <t>Open</t>
        </is>
      </c>
      <c r="K3" s="3" t="inlineStr">
        <is>
          <t>Billing shows reduced Firewall hours</t>
        </is>
      </c>
      <c r="L3" s="3" t="inlineStr">
        <is>
          <t>B.2.2</t>
        </is>
      </c>
    </row>
    <row r="4">
      <c r="A4" s="3" t="inlineStr">
        <is>
          <t>COST-002</t>
        </is>
      </c>
      <c r="B4" s="3" t="inlineStr">
        <is>
          <t>Sizing</t>
        </is>
      </c>
      <c r="C4" s="3" t="inlineStr">
        <is>
          <t>VPN Gateway SKU VpnGw1 used — may be over-provisioned for lab</t>
        </is>
      </c>
      <c r="D4" s="3" t="inlineStr">
        <is>
          <t>Low</t>
        </is>
      </c>
      <c r="E4" s="3" t="inlineStr">
        <is>
          <t>VpnGw2 costs 2x for no lab benefit</t>
        </is>
      </c>
      <c r="F4" s="3" t="inlineStr">
        <is>
          <t>cfs-hub-vpng-swc</t>
        </is>
      </c>
      <c r="G4" s="3" t="inlineStr">
        <is>
          <t>Downgrade to VpnGw1 for lab; document production sizing requirements separately</t>
        </is>
      </c>
      <c r="H4" s="3" t="inlineStr">
        <is>
          <t>1. Verify VpnGw1 meets lab throughput. 2. Downgrade if over-provisioned.</t>
        </is>
      </c>
      <c r="I4" s="3" t="inlineStr">
        <is>
          <t>&lt;&lt;Owner&gt;&gt;</t>
        </is>
      </c>
      <c r="J4" s="3" t="inlineStr">
        <is>
          <t>Open</t>
        </is>
      </c>
      <c r="K4" s="3" t="inlineStr">
        <is>
          <t>Billing shows optimal Gateway SKU</t>
        </is>
      </c>
      <c r="L4" s="3" t="inlineStr">
        <is>
          <t>B.2.2</t>
        </is>
      </c>
    </row>
    <row r="5">
      <c r="A5" s="20" t="n"/>
      <c r="B5" s="20" t="n"/>
      <c r="C5" s="20" t="n"/>
      <c r="D5" s="21" t="n"/>
      <c r="E5" s="20" t="n"/>
      <c r="F5" s="20" t="n"/>
      <c r="G5" s="20" t="n"/>
      <c r="H5" s="20" t="n"/>
      <c r="I5" s="20" t="n"/>
      <c r="J5" s="21" t="n"/>
      <c r="K5" s="20" t="n"/>
      <c r="L5" s="20" t="n"/>
    </row>
    <row r="6">
      <c r="A6" s="20" t="n"/>
      <c r="B6" s="20" t="n"/>
      <c r="C6" s="20" t="n"/>
      <c r="D6" s="21" t="n"/>
      <c r="E6" s="20" t="n"/>
      <c r="F6" s="20" t="n"/>
      <c r="G6" s="20" t="n"/>
      <c r="H6" s="20" t="n"/>
      <c r="I6" s="20" t="n"/>
      <c r="J6" s="21" t="n"/>
      <c r="K6" s="20" t="n"/>
      <c r="L6" s="20" t="n"/>
    </row>
    <row r="7">
      <c r="A7" s="20" t="n"/>
      <c r="B7" s="20" t="n"/>
      <c r="C7" s="20" t="n"/>
      <c r="D7" s="21" t="n"/>
      <c r="E7" s="20" t="n"/>
      <c r="F7" s="20" t="n"/>
      <c r="G7" s="20" t="n"/>
      <c r="H7" s="20" t="n"/>
      <c r="I7" s="20" t="n"/>
      <c r="J7" s="21" t="n"/>
      <c r="K7" s="20" t="n"/>
      <c r="L7" s="20" t="n"/>
    </row>
    <row r="8">
      <c r="A8" s="20" t="n"/>
      <c r="B8" s="20" t="n"/>
      <c r="C8" s="20" t="n"/>
      <c r="D8" s="21" t="n"/>
      <c r="E8" s="20" t="n"/>
      <c r="F8" s="20" t="n"/>
      <c r="G8" s="20" t="n"/>
      <c r="H8" s="20" t="n"/>
      <c r="I8" s="20" t="n"/>
      <c r="J8" s="21" t="n"/>
      <c r="K8" s="20" t="n"/>
      <c r="L8" s="20" t="n"/>
    </row>
    <row r="9">
      <c r="A9" s="20" t="n"/>
      <c r="B9" s="20" t="n"/>
      <c r="C9" s="20" t="n"/>
      <c r="D9" s="21" t="n"/>
      <c r="E9" s="20" t="n"/>
      <c r="F9" s="20" t="n"/>
      <c r="G9" s="20" t="n"/>
      <c r="H9" s="20" t="n"/>
      <c r="I9" s="20" t="n"/>
      <c r="J9" s="21" t="n"/>
      <c r="K9" s="20" t="n"/>
      <c r="L9" s="20" t="n"/>
    </row>
    <row r="10">
      <c r="A10" s="20" t="n"/>
      <c r="B10" s="20" t="n"/>
      <c r="C10" s="20" t="n"/>
      <c r="D10" s="21" t="n"/>
      <c r="E10" s="20" t="n"/>
      <c r="F10" s="20" t="n"/>
      <c r="G10" s="20" t="n"/>
      <c r="H10" s="20" t="n"/>
      <c r="I10" s="20" t="n"/>
      <c r="J10" s="21" t="n"/>
      <c r="K10" s="20" t="n"/>
      <c r="L10" s="20" t="n"/>
    </row>
    <row r="11">
      <c r="A11" s="20" t="n"/>
      <c r="B11" s="20" t="n"/>
      <c r="C11" s="20" t="n"/>
      <c r="D11" s="21" t="n"/>
      <c r="E11" s="20" t="n"/>
      <c r="F11" s="20" t="n"/>
      <c r="G11" s="20" t="n"/>
      <c r="H11" s="20" t="n"/>
      <c r="I11" s="20" t="n"/>
      <c r="J11" s="21" t="n"/>
      <c r="K11" s="20" t="n"/>
      <c r="L11" s="20" t="n"/>
    </row>
    <row r="12">
      <c r="A12" s="20" t="n"/>
      <c r="B12" s="20" t="n"/>
      <c r="C12" s="20" t="n"/>
      <c r="D12" s="21" t="n"/>
      <c r="E12" s="20" t="n"/>
      <c r="F12" s="20" t="n"/>
      <c r="G12" s="20" t="n"/>
      <c r="H12" s="20" t="n"/>
      <c r="I12" s="20" t="n"/>
      <c r="J12" s="21" t="n"/>
      <c r="K12" s="20" t="n"/>
      <c r="L12" s="20" t="n"/>
    </row>
    <row r="13">
      <c r="A13" s="20" t="n"/>
      <c r="B13" s="20" t="n"/>
      <c r="C13" s="20" t="n"/>
      <c r="D13" s="21" t="n"/>
      <c r="E13" s="20" t="n"/>
      <c r="F13" s="20" t="n"/>
      <c r="G13" s="20" t="n"/>
      <c r="H13" s="20" t="n"/>
      <c r="I13" s="20" t="n"/>
      <c r="J13" s="21" t="n"/>
      <c r="K13" s="20" t="n"/>
      <c r="L13" s="20" t="n"/>
    </row>
    <row r="14">
      <c r="A14" s="20" t="n"/>
      <c r="B14" s="20" t="n"/>
      <c r="C14" s="20" t="n"/>
      <c r="D14" s="21" t="n"/>
      <c r="E14" s="20" t="n"/>
      <c r="F14" s="20" t="n"/>
      <c r="G14" s="20" t="n"/>
      <c r="H14" s="20" t="n"/>
      <c r="I14" s="20" t="n"/>
      <c r="J14" s="21" t="n"/>
      <c r="K14" s="20" t="n"/>
      <c r="L14" s="20" t="n"/>
    </row>
  </sheetData>
  <mergeCells count="1">
    <mergeCell ref="A1:L1"/>
  </mergeCells>
  <dataValidations count="2">
    <dataValidation sqref="D3:D200" showDropDown="0" showInputMessage="0" showErrorMessage="0" allowBlank="0" type="list">
      <formula1>"Critical,High,Medium,Low"</formula1>
    </dataValidation>
    <dataValidation sqref="J3:J200" showDropDown="0" showInputMessage="0" showErrorMessage="0" allowBlank="0" type="list">
      <formula1>"Open,In Progress,Closed,Accepted Risk"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2026-06-25T23:40:56Z</dcterms:created>
  <dcterms:modified xmlns:dcterms="http://purl.org/dc/terms/" xmlns:xsi="http://www.w3.org/2001/XMLSchema-instance" xsi:type="dcterms:W3CDTF">2026-06-25T23:40:56Z</dcterms:modified>
</cp:coreProperties>
</file>